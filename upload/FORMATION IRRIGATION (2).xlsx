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600" yWindow="90" windowWidth="19380" windowHeight="8460" activeTab="1"/>
  </bookViews>
  <sheets>
    <sheet name="BESOIN EN EAU" sheetId="2" r:id="rId1"/>
    <sheet name="IRRIGATION" sheetId="1" r:id="rId2"/>
    <sheet name="DIMENSIONNEMENT" sheetId="3" r:id="rId3"/>
  </sheets>
  <calcPr calcId="124519"/>
</workbook>
</file>

<file path=xl/calcChain.xml><?xml version="1.0" encoding="utf-8"?>
<calcChain xmlns="http://schemas.openxmlformats.org/spreadsheetml/2006/main">
  <c r="C79" i="1"/>
  <c r="C78"/>
  <c r="C38"/>
  <c r="D21"/>
  <c r="E21"/>
  <c r="F21"/>
  <c r="G21"/>
  <c r="H21"/>
  <c r="I21"/>
  <c r="J21"/>
  <c r="K21"/>
  <c r="L21"/>
  <c r="M21"/>
  <c r="N21"/>
  <c r="C21"/>
  <c r="D20"/>
  <c r="E20"/>
  <c r="F20"/>
  <c r="G20"/>
  <c r="H20"/>
  <c r="I20"/>
  <c r="J20"/>
  <c r="K20"/>
  <c r="L20"/>
  <c r="M20"/>
  <c r="N20"/>
  <c r="C20"/>
  <c r="D19"/>
  <c r="E19"/>
  <c r="F19"/>
  <c r="G19"/>
  <c r="H19"/>
  <c r="I19"/>
  <c r="J19"/>
  <c r="K19"/>
  <c r="L19"/>
  <c r="M19"/>
  <c r="N19"/>
  <c r="C19"/>
  <c r="D14"/>
  <c r="E14"/>
  <c r="F14"/>
  <c r="G14"/>
  <c r="H14"/>
  <c r="I14"/>
  <c r="J14"/>
  <c r="K14"/>
  <c r="L14"/>
  <c r="M14"/>
  <c r="N14"/>
  <c r="C14"/>
  <c r="C76"/>
  <c r="C12" i="2" l="1"/>
  <c r="C13" s="1"/>
  <c r="D7"/>
  <c r="E7"/>
  <c r="F7"/>
  <c r="G7"/>
  <c r="G14" s="1"/>
  <c r="H7"/>
  <c r="I7"/>
  <c r="J7"/>
  <c r="K7"/>
  <c r="L7"/>
  <c r="M7"/>
  <c r="N7"/>
  <c r="D5"/>
  <c r="E5"/>
  <c r="F5"/>
  <c r="G5"/>
  <c r="H5"/>
  <c r="I5"/>
  <c r="J5"/>
  <c r="K5"/>
  <c r="L5"/>
  <c r="M5"/>
  <c r="N5"/>
  <c r="C5"/>
  <c r="C7"/>
  <c r="C14" s="1"/>
  <c r="L68"/>
  <c r="L66"/>
  <c r="L65"/>
  <c r="L64"/>
  <c r="N58"/>
  <c r="M58"/>
  <c r="L58"/>
  <c r="K58"/>
  <c r="J58"/>
  <c r="I58"/>
  <c r="H58"/>
  <c r="G58"/>
  <c r="F58"/>
  <c r="E58"/>
  <c r="D58"/>
  <c r="C58"/>
  <c r="C57"/>
  <c r="D39"/>
  <c r="D57" s="1"/>
  <c r="N34"/>
  <c r="N35" s="1"/>
  <c r="M34"/>
  <c r="M35" s="1"/>
  <c r="L34"/>
  <c r="L35" s="1"/>
  <c r="K34"/>
  <c r="K35" s="1"/>
  <c r="J34"/>
  <c r="J35" s="1"/>
  <c r="I34"/>
  <c r="I35" s="1"/>
  <c r="H34"/>
  <c r="H35" s="1"/>
  <c r="G34"/>
  <c r="G35" s="1"/>
  <c r="F34"/>
  <c r="F35" s="1"/>
  <c r="E34"/>
  <c r="E35" s="1"/>
  <c r="D34"/>
  <c r="D35" s="1"/>
  <c r="C34"/>
  <c r="C35" s="1"/>
  <c r="N33"/>
  <c r="M33"/>
  <c r="L33"/>
  <c r="K33"/>
  <c r="J33"/>
  <c r="I33"/>
  <c r="H33"/>
  <c r="G33"/>
  <c r="F33"/>
  <c r="E33"/>
  <c r="D33"/>
  <c r="C33"/>
  <c r="N21"/>
  <c r="M21"/>
  <c r="L21"/>
  <c r="K21"/>
  <c r="J21"/>
  <c r="I21"/>
  <c r="H21"/>
  <c r="G21"/>
  <c r="F21"/>
  <c r="E21"/>
  <c r="D21"/>
  <c r="C21"/>
  <c r="E12"/>
  <c r="E13" s="1"/>
  <c r="E15" s="1"/>
  <c r="E17" s="1"/>
  <c r="E19" s="1"/>
  <c r="D12"/>
  <c r="D13" s="1"/>
  <c r="D15" s="1"/>
  <c r="D17" s="1"/>
  <c r="D19" s="1"/>
  <c r="N14"/>
  <c r="L14"/>
  <c r="M12"/>
  <c r="M13" s="1"/>
  <c r="M15" s="1"/>
  <c r="M17" s="1"/>
  <c r="M19" s="1"/>
  <c r="M20" s="1"/>
  <c r="M22" s="1"/>
  <c r="M23" s="1"/>
  <c r="M24" s="1"/>
  <c r="L12"/>
  <c r="L13" s="1"/>
  <c r="L15" s="1"/>
  <c r="L17" s="1"/>
  <c r="L19" s="1"/>
  <c r="K14"/>
  <c r="I12"/>
  <c r="I13" s="1"/>
  <c r="I15" s="1"/>
  <c r="I17" s="1"/>
  <c r="I19" s="1"/>
  <c r="H12"/>
  <c r="H13" s="1"/>
  <c r="H15" s="1"/>
  <c r="H17" s="1"/>
  <c r="H19" s="1"/>
  <c r="F14"/>
  <c r="D97" i="1"/>
  <c r="E97" s="1"/>
  <c r="F97" s="1"/>
  <c r="G97" s="1"/>
  <c r="H97" s="1"/>
  <c r="I97" s="1"/>
  <c r="J97" s="1"/>
  <c r="K97" s="1"/>
  <c r="L97" s="1"/>
  <c r="M97" s="1"/>
  <c r="N97" s="1"/>
  <c r="C95"/>
  <c r="E94"/>
  <c r="F94" s="1"/>
  <c r="G94" s="1"/>
  <c r="H94" s="1"/>
  <c r="I94" s="1"/>
  <c r="J94" s="1"/>
  <c r="K94" s="1"/>
  <c r="L94" s="1"/>
  <c r="M94" s="1"/>
  <c r="N94" s="1"/>
  <c r="D94"/>
  <c r="D91"/>
  <c r="C91"/>
  <c r="C92" s="1"/>
  <c r="C89"/>
  <c r="D88"/>
  <c r="E88" s="1"/>
  <c r="D87"/>
  <c r="E87" s="1"/>
  <c r="F87" s="1"/>
  <c r="G87" s="1"/>
  <c r="H87" s="1"/>
  <c r="I87" s="1"/>
  <c r="J87" s="1"/>
  <c r="K87" s="1"/>
  <c r="L87" s="1"/>
  <c r="M87" s="1"/>
  <c r="N87" s="1"/>
  <c r="F84"/>
  <c r="G84" s="1"/>
  <c r="E84"/>
  <c r="E91" s="1"/>
  <c r="D84"/>
  <c r="E83"/>
  <c r="F83" s="1"/>
  <c r="G83" s="1"/>
  <c r="H83" s="1"/>
  <c r="I83" s="1"/>
  <c r="J83" s="1"/>
  <c r="K83" s="1"/>
  <c r="L83" s="1"/>
  <c r="M83" s="1"/>
  <c r="N83" s="1"/>
  <c r="D83"/>
  <c r="D61"/>
  <c r="C57"/>
  <c r="C59" s="1"/>
  <c r="D59" s="1"/>
  <c r="C46"/>
  <c r="D45"/>
  <c r="E45" s="1"/>
  <c r="D44"/>
  <c r="E44" s="1"/>
  <c r="F44" s="1"/>
  <c r="G44" s="1"/>
  <c r="H44" s="1"/>
  <c r="I44" s="1"/>
  <c r="J44" s="1"/>
  <c r="K44" s="1"/>
  <c r="L44" s="1"/>
  <c r="M44" s="1"/>
  <c r="N44" s="1"/>
  <c r="D36"/>
  <c r="E36" s="1"/>
  <c r="F36" s="1"/>
  <c r="G36" s="1"/>
  <c r="H36" s="1"/>
  <c r="I36" s="1"/>
  <c r="J36" s="1"/>
  <c r="K36" s="1"/>
  <c r="L36" s="1"/>
  <c r="M36" s="1"/>
  <c r="N36" s="1"/>
  <c r="D35"/>
  <c r="E35" s="1"/>
  <c r="F35" s="1"/>
  <c r="G35" s="1"/>
  <c r="H35" s="1"/>
  <c r="I35" s="1"/>
  <c r="J35" s="1"/>
  <c r="K35" s="1"/>
  <c r="L35" s="1"/>
  <c r="M35" s="1"/>
  <c r="N35" s="1"/>
  <c r="N16"/>
  <c r="N17" s="1"/>
  <c r="N23" s="1"/>
  <c r="N24" s="1"/>
  <c r="N25" s="1"/>
  <c r="M16"/>
  <c r="M17" s="1"/>
  <c r="M23" s="1"/>
  <c r="M24" s="1"/>
  <c r="M25" s="1"/>
  <c r="L16"/>
  <c r="L17" s="1"/>
  <c r="L23" s="1"/>
  <c r="L24" s="1"/>
  <c r="L25" s="1"/>
  <c r="K16"/>
  <c r="K17" s="1"/>
  <c r="K23" s="1"/>
  <c r="K24" s="1"/>
  <c r="K25" s="1"/>
  <c r="J16"/>
  <c r="J17" s="1"/>
  <c r="J23" s="1"/>
  <c r="J24" s="1"/>
  <c r="J25" s="1"/>
  <c r="I16"/>
  <c r="I17" s="1"/>
  <c r="I23" s="1"/>
  <c r="I24" s="1"/>
  <c r="I25" s="1"/>
  <c r="H16"/>
  <c r="H17" s="1"/>
  <c r="H23" s="1"/>
  <c r="H24" s="1"/>
  <c r="H25" s="1"/>
  <c r="G16"/>
  <c r="G17" s="1"/>
  <c r="G23" s="1"/>
  <c r="G24" s="1"/>
  <c r="G25" s="1"/>
  <c r="F16"/>
  <c r="F17" s="1"/>
  <c r="F23" s="1"/>
  <c r="F24" s="1"/>
  <c r="F25" s="1"/>
  <c r="E16"/>
  <c r="E17" s="1"/>
  <c r="E23" s="1"/>
  <c r="E24" s="1"/>
  <c r="E25" s="1"/>
  <c r="D16"/>
  <c r="D17" s="1"/>
  <c r="D23" s="1"/>
  <c r="D24" s="1"/>
  <c r="D25" s="1"/>
  <c r="C16"/>
  <c r="C17" s="1"/>
  <c r="C23" s="1"/>
  <c r="N15"/>
  <c r="M15"/>
  <c r="L15"/>
  <c r="K15"/>
  <c r="J15"/>
  <c r="I15"/>
  <c r="H15"/>
  <c r="G15"/>
  <c r="F15"/>
  <c r="E15"/>
  <c r="D15"/>
  <c r="C15"/>
  <c r="H20" i="2" l="1"/>
  <c r="H22" s="1"/>
  <c r="H23" s="1"/>
  <c r="H24" s="1"/>
  <c r="L20"/>
  <c r="L22" s="1"/>
  <c r="L23" s="1"/>
  <c r="L24" s="1"/>
  <c r="E20"/>
  <c r="E22" s="1"/>
  <c r="E23" s="1"/>
  <c r="E24" s="1"/>
  <c r="I20"/>
  <c r="I22" s="1"/>
  <c r="I23" s="1"/>
  <c r="I24" s="1"/>
  <c r="D20"/>
  <c r="D22" s="1"/>
  <c r="D23" s="1"/>
  <c r="D24" s="1"/>
  <c r="D14"/>
  <c r="H14"/>
  <c r="M14"/>
  <c r="E14"/>
  <c r="I14"/>
  <c r="F53"/>
  <c r="F47"/>
  <c r="J53"/>
  <c r="J47"/>
  <c r="E47"/>
  <c r="E53"/>
  <c r="I53"/>
  <c r="I47"/>
  <c r="D41"/>
  <c r="D47"/>
  <c r="D53"/>
  <c r="H47"/>
  <c r="H53"/>
  <c r="L47"/>
  <c r="L53"/>
  <c r="C47"/>
  <c r="C53"/>
  <c r="C41"/>
  <c r="G47"/>
  <c r="G53"/>
  <c r="K47"/>
  <c r="K53"/>
  <c r="J14"/>
  <c r="N53"/>
  <c r="N47"/>
  <c r="M53"/>
  <c r="M47"/>
  <c r="C15"/>
  <c r="C17" s="1"/>
  <c r="G12"/>
  <c r="G13" s="1"/>
  <c r="G15" s="1"/>
  <c r="G17" s="1"/>
  <c r="G19" s="1"/>
  <c r="G20" s="1"/>
  <c r="G22" s="1"/>
  <c r="G23" s="1"/>
  <c r="G24" s="1"/>
  <c r="K12"/>
  <c r="K13" s="1"/>
  <c r="K15" s="1"/>
  <c r="K17" s="1"/>
  <c r="K19" s="1"/>
  <c r="K20" s="1"/>
  <c r="K22" s="1"/>
  <c r="K23" s="1"/>
  <c r="K24" s="1"/>
  <c r="E39"/>
  <c r="E41" s="1"/>
  <c r="F12"/>
  <c r="F13" s="1"/>
  <c r="F15" s="1"/>
  <c r="F17" s="1"/>
  <c r="F19" s="1"/>
  <c r="F20" s="1"/>
  <c r="F22" s="1"/>
  <c r="F23" s="1"/>
  <c r="F24" s="1"/>
  <c r="J12"/>
  <c r="J13" s="1"/>
  <c r="J15" s="1"/>
  <c r="J17" s="1"/>
  <c r="J19" s="1"/>
  <c r="J20" s="1"/>
  <c r="J22" s="1"/>
  <c r="J23" s="1"/>
  <c r="J24" s="1"/>
  <c r="N12"/>
  <c r="N13" s="1"/>
  <c r="N15" s="1"/>
  <c r="N17" s="1"/>
  <c r="N19" s="1"/>
  <c r="N20" s="1"/>
  <c r="N22" s="1"/>
  <c r="N23" s="1"/>
  <c r="N24" s="1"/>
  <c r="M85" i="1"/>
  <c r="M37"/>
  <c r="M38" s="1"/>
  <c r="D92"/>
  <c r="E92" s="1"/>
  <c r="F92" s="1"/>
  <c r="G92" s="1"/>
  <c r="H92" s="1"/>
  <c r="I92" s="1"/>
  <c r="J92" s="1"/>
  <c r="K92" s="1"/>
  <c r="L92" s="1"/>
  <c r="M92" s="1"/>
  <c r="N92" s="1"/>
  <c r="C93"/>
  <c r="D93" s="1"/>
  <c r="E93" s="1"/>
  <c r="F93" s="1"/>
  <c r="G93" s="1"/>
  <c r="H93" s="1"/>
  <c r="I93" s="1"/>
  <c r="J93" s="1"/>
  <c r="K93" s="1"/>
  <c r="L93" s="1"/>
  <c r="M93" s="1"/>
  <c r="N93" s="1"/>
  <c r="C96"/>
  <c r="G85"/>
  <c r="G37"/>
  <c r="G38" s="1"/>
  <c r="F85"/>
  <c r="F37"/>
  <c r="F38" s="1"/>
  <c r="N85"/>
  <c r="N37"/>
  <c r="N38" s="1"/>
  <c r="H84"/>
  <c r="G91"/>
  <c r="E85"/>
  <c r="E37"/>
  <c r="E38" s="1"/>
  <c r="I85"/>
  <c r="I37"/>
  <c r="I38" s="1"/>
  <c r="O23"/>
  <c r="C24"/>
  <c r="C25" s="1"/>
  <c r="K85"/>
  <c r="K37"/>
  <c r="K38" s="1"/>
  <c r="J37"/>
  <c r="J38" s="1"/>
  <c r="J85"/>
  <c r="D85"/>
  <c r="D37"/>
  <c r="D38" s="1"/>
  <c r="D47" s="1"/>
  <c r="H85"/>
  <c r="H37"/>
  <c r="H38" s="1"/>
  <c r="L85"/>
  <c r="L37"/>
  <c r="L38" s="1"/>
  <c r="E46"/>
  <c r="F45"/>
  <c r="E89"/>
  <c r="F88"/>
  <c r="C62"/>
  <c r="D95"/>
  <c r="E95" s="1"/>
  <c r="F95" s="1"/>
  <c r="G95" s="1"/>
  <c r="H95" s="1"/>
  <c r="I95" s="1"/>
  <c r="J95" s="1"/>
  <c r="K95" s="1"/>
  <c r="L95" s="1"/>
  <c r="M95" s="1"/>
  <c r="N95" s="1"/>
  <c r="D89"/>
  <c r="F91"/>
  <c r="D46"/>
  <c r="E57" i="2" l="1"/>
  <c r="F39"/>
  <c r="O47"/>
  <c r="O17"/>
  <c r="C19"/>
  <c r="O53"/>
  <c r="C54"/>
  <c r="D54"/>
  <c r="D59" s="1"/>
  <c r="D60" s="1"/>
  <c r="E54"/>
  <c r="E59" s="1"/>
  <c r="E60" s="1"/>
  <c r="C98" i="1"/>
  <c r="D98" s="1"/>
  <c r="E98" s="1"/>
  <c r="F98" s="1"/>
  <c r="G98" s="1"/>
  <c r="H98" s="1"/>
  <c r="I98" s="1"/>
  <c r="J98" s="1"/>
  <c r="K98" s="1"/>
  <c r="L98" s="1"/>
  <c r="M98" s="1"/>
  <c r="N98" s="1"/>
  <c r="D96"/>
  <c r="E96" s="1"/>
  <c r="F96" s="1"/>
  <c r="G96" s="1"/>
  <c r="H96" s="1"/>
  <c r="I96" s="1"/>
  <c r="J96" s="1"/>
  <c r="K96" s="1"/>
  <c r="L96" s="1"/>
  <c r="M96" s="1"/>
  <c r="N96" s="1"/>
  <c r="M99"/>
  <c r="M86"/>
  <c r="H99"/>
  <c r="H100" s="1"/>
  <c r="H86"/>
  <c r="E99"/>
  <c r="E86"/>
  <c r="E90" s="1"/>
  <c r="N99"/>
  <c r="N100" s="1"/>
  <c r="N86"/>
  <c r="G99"/>
  <c r="G86"/>
  <c r="F89"/>
  <c r="G88"/>
  <c r="F46"/>
  <c r="G45"/>
  <c r="J86"/>
  <c r="J99"/>
  <c r="J100" s="1"/>
  <c r="C85"/>
  <c r="C37"/>
  <c r="E47"/>
  <c r="L99"/>
  <c r="L86"/>
  <c r="D99"/>
  <c r="D86"/>
  <c r="D90" s="1"/>
  <c r="K99"/>
  <c r="K86"/>
  <c r="I99"/>
  <c r="I86"/>
  <c r="H91"/>
  <c r="I84"/>
  <c r="F99"/>
  <c r="F86"/>
  <c r="F90" s="1"/>
  <c r="F47"/>
  <c r="O19" i="2" l="1"/>
  <c r="C20"/>
  <c r="C59"/>
  <c r="C60" s="1"/>
  <c r="F57"/>
  <c r="G39"/>
  <c r="F41"/>
  <c r="H88" i="1"/>
  <c r="G89"/>
  <c r="C99"/>
  <c r="C100" s="1"/>
  <c r="C86"/>
  <c r="C90" s="1"/>
  <c r="K100"/>
  <c r="L100"/>
  <c r="I91"/>
  <c r="J84"/>
  <c r="C47"/>
  <c r="G46"/>
  <c r="G47" s="1"/>
  <c r="H45"/>
  <c r="G100"/>
  <c r="E100"/>
  <c r="M100"/>
  <c r="F100"/>
  <c r="I100"/>
  <c r="D100"/>
  <c r="G90"/>
  <c r="H39" i="2" l="1"/>
  <c r="G57"/>
  <c r="G41"/>
  <c r="G54" s="1"/>
  <c r="F54"/>
  <c r="C22"/>
  <c r="C23" s="1"/>
  <c r="C24" s="1"/>
  <c r="O20"/>
  <c r="I88" i="1"/>
  <c r="H89"/>
  <c r="H90" s="1"/>
  <c r="I45"/>
  <c r="H46"/>
  <c r="H47" s="1"/>
  <c r="K84"/>
  <c r="J91"/>
  <c r="F59" i="2" l="1"/>
  <c r="F60" s="1"/>
  <c r="H57"/>
  <c r="I39"/>
  <c r="H41"/>
  <c r="H54" s="1"/>
  <c r="G59"/>
  <c r="G60" s="1"/>
  <c r="I46" i="1"/>
  <c r="I47" s="1"/>
  <c r="J45"/>
  <c r="L84"/>
  <c r="K91"/>
  <c r="I89"/>
  <c r="I90" s="1"/>
  <c r="J88"/>
  <c r="H59" i="2" l="1"/>
  <c r="H60" s="1"/>
  <c r="I57"/>
  <c r="J39"/>
  <c r="I41"/>
  <c r="I54" s="1"/>
  <c r="L91" i="1"/>
  <c r="M84"/>
  <c r="J89"/>
  <c r="J90" s="1"/>
  <c r="K88"/>
  <c r="J46"/>
  <c r="J47" s="1"/>
  <c r="K45"/>
  <c r="I59" i="2" l="1"/>
  <c r="I60" s="1"/>
  <c r="K39"/>
  <c r="J57"/>
  <c r="J41"/>
  <c r="J54" s="1"/>
  <c r="M91" i="1"/>
  <c r="N84"/>
  <c r="N91" s="1"/>
  <c r="L45"/>
  <c r="K46"/>
  <c r="K47" s="1"/>
  <c r="L88"/>
  <c r="K89"/>
  <c r="K90" s="1"/>
  <c r="L39" i="2" l="1"/>
  <c r="K57"/>
  <c r="K41"/>
  <c r="K54" s="1"/>
  <c r="J59"/>
  <c r="J60" s="1"/>
  <c r="M88" i="1"/>
  <c r="L89"/>
  <c r="L90" s="1"/>
  <c r="M45"/>
  <c r="L46"/>
  <c r="L47" s="1"/>
  <c r="L57" i="2" l="1"/>
  <c r="M39"/>
  <c r="L41"/>
  <c r="L54" s="1"/>
  <c r="K59"/>
  <c r="K60" s="1"/>
  <c r="K63"/>
  <c r="M89" i="1"/>
  <c r="M90" s="1"/>
  <c r="N88"/>
  <c r="N89" s="1"/>
  <c r="N90" s="1"/>
  <c r="M46"/>
  <c r="M47" s="1"/>
  <c r="N45"/>
  <c r="N46" s="1"/>
  <c r="N47" s="1"/>
  <c r="M57" i="2" l="1"/>
  <c r="N39"/>
  <c r="M41"/>
  <c r="M54" s="1"/>
  <c r="L59"/>
  <c r="L60" s="1"/>
  <c r="N57" l="1"/>
  <c r="O57" s="1"/>
  <c r="N41"/>
  <c r="M59"/>
  <c r="M60" s="1"/>
  <c r="N54" l="1"/>
  <c r="O41"/>
  <c r="N59" l="1"/>
  <c r="N60" s="1"/>
  <c r="O60" s="1"/>
  <c r="O54"/>
</calcChain>
</file>

<file path=xl/sharedStrings.xml><?xml version="1.0" encoding="utf-8"?>
<sst xmlns="http://schemas.openxmlformats.org/spreadsheetml/2006/main" count="220" uniqueCount="108">
  <si>
    <t>Besoins en eau = consommation en eau – disponibilités en eau</t>
  </si>
  <si>
    <t>ETR = ETP x Kc</t>
  </si>
  <si>
    <t>Coefficient cultural </t>
  </si>
  <si>
    <t>Janvier à fin février</t>
  </si>
  <si>
    <t>1er mars au 31 mars</t>
  </si>
  <si>
    <t>1er avril au 15 mai</t>
  </si>
  <si>
    <t>15 mai au 31 juillet</t>
  </si>
  <si>
    <t>1er août au 15 septembre</t>
  </si>
  <si>
    <t>15 septembre au 30 septembre</t>
  </si>
  <si>
    <t>1er octobre au 30 octobre</t>
  </si>
  <si>
    <t>1er novembre au 15 novembre</t>
  </si>
  <si>
    <t>15 novembre à fin décembre</t>
  </si>
  <si>
    <t>Kc</t>
  </si>
  <si>
    <t>Janvier</t>
  </si>
  <si>
    <t>Fevrier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</si>
  <si>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</si>
  <si>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</si>
  <si>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</si>
  <si>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</si>
  <si>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</si>
  <si>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</si>
  <si>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</si>
  <si>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</si>
  <si>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</si>
  <si>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Decembre</t>
  </si>
  <si>
    <t>NOMBRE DE JOURS</t>
  </si>
  <si>
    <t>ET0 JOURS mm</t>
  </si>
  <si>
    <t>ET0 JOURS m3/ha</t>
  </si>
  <si>
    <t>ET0 MOIS mm</t>
  </si>
  <si>
    <t>ET0 MOIS m3/ha</t>
  </si>
  <si>
    <t>Kr</t>
  </si>
  <si>
    <t>Superficie</t>
  </si>
  <si>
    <t>EFFICIENCE Ea=90%</t>
  </si>
  <si>
    <t>Be Brut (m3)/ha</t>
  </si>
  <si>
    <t>Be Brut (mm)/mois</t>
  </si>
  <si>
    <t>Be Brut (mm)/jours</t>
  </si>
  <si>
    <t>Dose d’irrigation</t>
  </si>
  <si>
    <t>Equivalences : 1 mm = 10 m3/ha = 1 L/m2</t>
  </si>
  <si>
    <t>Dose (en litres/arbre) = Dose (en mm) x Surface occupée par l’olivier (en m2)</t>
  </si>
  <si>
    <t>Eg</t>
  </si>
  <si>
    <t>Er</t>
  </si>
  <si>
    <t xml:space="preserve">ETR </t>
  </si>
  <si>
    <t>Dose (en l/arbre)</t>
  </si>
  <si>
    <t>Durée de l’irrigation</t>
  </si>
  <si>
    <t>Durée (en heure) = Dose (en litres/arbre) / Débit par arbre (en litres/heure)</t>
  </si>
  <si>
    <t>Nombre de gouteur</t>
  </si>
  <si>
    <t>Débit GG (l/heure)</t>
  </si>
  <si>
    <t>Débit par arbre (l/heure)</t>
  </si>
  <si>
    <t>Durée (en heure)</t>
  </si>
  <si>
    <t>Poste d’irrigation</t>
  </si>
  <si>
    <t>Surface du poste (en hectare) = Débit à la source (en m3/heure) / Débit par hectare (en m3/hectare)</t>
  </si>
  <si>
    <t>Nombre d’arbres par hectare</t>
  </si>
  <si>
    <t>Débit par hectare </t>
  </si>
  <si>
    <t>l/h/ha</t>
  </si>
  <si>
    <t>m3/h/ha</t>
  </si>
  <si>
    <t>Débit de source</t>
  </si>
  <si>
    <t>l/s</t>
  </si>
  <si>
    <t>m3/h</t>
  </si>
  <si>
    <t>Taille du poste (en hectare)</t>
  </si>
  <si>
    <t>Durée du tour d’eau</t>
  </si>
  <si>
    <t>Durée du tour d’eau (en heure) = Durée de l’irrigation par poste (en heure) x Nombre de postes raccordés à la source d’eau</t>
  </si>
  <si>
    <t>Nombre de postes sur le verger </t>
  </si>
  <si>
    <t>Dose journalière mm</t>
  </si>
  <si>
    <t>Durée de l’irrigation par poste en heure</t>
  </si>
  <si>
    <t>Durée du tour d’eau en heure</t>
  </si>
  <si>
    <t>ETR mm</t>
  </si>
  <si>
    <t>Débit par hectare l/h/ha</t>
  </si>
  <si>
    <t>Débit par hectare m3/h/ha</t>
  </si>
  <si>
    <t>Débit de source l/s</t>
  </si>
  <si>
    <t>Débit de source m3/h</t>
  </si>
  <si>
    <t xml:space="preserve">  </t>
  </si>
  <si>
    <t>Eau disponible = Réserves du sol + Pluies efficaces</t>
  </si>
  <si>
    <t>Localisation Gabes</t>
  </si>
  <si>
    <t>Valeur des ET0 mensuelles mm</t>
  </si>
  <si>
    <t>PLUIE MOYENNE</t>
  </si>
  <si>
    <t>PLUIE EFFICACE 70%</t>
  </si>
  <si>
    <t>Be net= Kc * Kr * ET0 jours</t>
  </si>
  <si>
    <t>Be Net (mm)</t>
  </si>
  <si>
    <t>Be brut= Be net*Efficie,nce</t>
  </si>
  <si>
    <t>Be Brut (mm)</t>
  </si>
  <si>
    <t>Be Brut-Pluie efficace</t>
  </si>
  <si>
    <t>Be Brutt m3/ha</t>
  </si>
  <si>
    <t>Be Brut m3/mois</t>
  </si>
  <si>
    <t>Besoins totaux</t>
  </si>
  <si>
    <t>Besoins en eau réel</t>
  </si>
  <si>
    <t xml:space="preserve">Nbre heures Fonctionnement </t>
  </si>
  <si>
    <t>Volume disponible</t>
  </si>
  <si>
    <t>Bilan ressource-besoin reel</t>
  </si>
  <si>
    <t>ETC=ETR*Kc</t>
  </si>
  <si>
    <t>Be Brut (m3)</t>
  </si>
  <si>
    <t>Be Brut Total (m3)</t>
  </si>
  <si>
    <t>PLUIE MOYENNE mm</t>
  </si>
  <si>
    <t>PLUIE MOYENNE m3/h</t>
  </si>
  <si>
    <t>Q forage 4l/s m3</t>
  </si>
  <si>
    <t>Nbre heure de fonctionnement de forage h</t>
  </si>
  <si>
    <t>Volume mensuel fourni par le forage en m3</t>
  </si>
  <si>
    <t>Besoin journalier de mois de pointe m3</t>
  </si>
  <si>
    <t>Besoin brute de mois de pointe olv</t>
  </si>
  <si>
    <t>Besoin brute de mois de pointe amd</t>
  </si>
  <si>
    <t>Besoin brute de mois de pointe plm</t>
  </si>
  <si>
    <t>Verification</t>
  </si>
  <si>
    <t>debit fectif continue</t>
  </si>
  <si>
    <t>LONGUEUR DE CANALISATION</t>
  </si>
  <si>
    <t xml:space="preserve">PRESSION </t>
  </si>
  <si>
    <t>ET0 MOIS (mm)</t>
  </si>
  <si>
    <t>ET0 JOURS (mm)</t>
  </si>
  <si>
    <t>Peff=Pm*0,7</t>
  </si>
  <si>
    <t>Q forage l/s</t>
  </si>
</sst>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16">
    <font>
      <sz val="12"/>
      <color theme="1"/>
      <name val="Times New Roman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sz val="8"/>
      <color rgb="FF000000"/>
      <name val="Arial"/>
      <family val="2"/>
    </font>
    <font>
      <sz val="10"/>
      <name val="Arial"/>
      <family val="2"/>
    </font>
    <font>
      <b/>
      <sz val="12"/>
      <name val="Times New Roman"/>
      <family val="1"/>
    </font>
    <font>
      <sz val="12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name val="Times New Roman"/>
      <family val="2"/>
    </font>
    <font>
      <sz val="11"/>
      <color theme="1"/>
      <name val="Times New Roman"/>
      <family val="2"/>
    </font>
    <font>
      <b/>
      <sz val="14"/>
      <color rgb="FF000000"/>
      <name val="Arial"/>
      <family val="2"/>
    </font>
    <font>
      <sz val="11"/>
      <color rgb="FF000000"/>
      <name val="Times New Roman"/>
      <family val="1"/>
    </font>
  </fonts>
  <fills count="1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theme="3"/>
      </left>
      <right style="hair">
        <color theme="3"/>
      </right>
      <top style="hair">
        <color theme="3"/>
      </top>
      <bottom style="hair">
        <color theme="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tted">
        <color theme="3"/>
      </left>
      <right style="dotted">
        <color theme="3"/>
      </right>
      <top style="dotted">
        <color theme="3"/>
      </top>
      <bottom style="dotted">
        <color theme="3"/>
      </bottom>
      <diagonal/>
    </border>
    <border>
      <left style="hair">
        <color theme="3"/>
      </left>
      <right style="hair">
        <color theme="3"/>
      </right>
      <top style="hair">
        <color theme="3"/>
      </top>
      <bottom/>
      <diagonal/>
    </border>
    <border>
      <left style="hair">
        <color theme="3"/>
      </left>
      <right/>
      <top/>
      <bottom style="hair">
        <color theme="3"/>
      </bottom>
      <diagonal/>
    </border>
    <border>
      <left/>
      <right style="hair">
        <color theme="3"/>
      </right>
      <top/>
      <bottom style="hair">
        <color theme="3"/>
      </bottom>
      <diagonal/>
    </border>
    <border>
      <left style="hair">
        <color theme="3"/>
      </left>
      <right style="hair">
        <color theme="3"/>
      </right>
      <top/>
      <bottom style="hair">
        <color theme="3"/>
      </bottom>
      <diagonal/>
    </border>
    <border>
      <left/>
      <right style="hair">
        <color theme="3"/>
      </right>
      <top style="hair">
        <color theme="3"/>
      </top>
      <bottom style="hair">
        <color theme="3"/>
      </bottom>
      <diagonal/>
    </border>
    <border>
      <left style="hair">
        <color theme="3"/>
      </left>
      <right/>
      <top style="hair">
        <color theme="3"/>
      </top>
      <bottom style="hair">
        <color theme="3"/>
      </bottom>
      <diagonal/>
    </border>
    <border>
      <left/>
      <right/>
      <top style="hair">
        <color theme="3"/>
      </top>
      <bottom style="hair">
        <color theme="3"/>
      </bottom>
      <diagonal/>
    </border>
  </borders>
  <cellStyleXfs count="2">
    <xf numFmtId="0" fontId="0" fillId="0" borderId="0"/>
    <xf numFmtId="0" fontId="4" fillId="0" borderId="0"/>
  </cellStyleXfs>
  <cellXfs count="150">
    <xf numFmtId="0" fontId="0" fillId="0" borderId="0" xfId="0"/>
    <xf numFmtId="0" fontId="3" fillId="0" borderId="1" xfId="0" applyFont="1" applyBorder="1"/>
    <xf numFmtId="0" fontId="3" fillId="3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left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/>
    </xf>
    <xf numFmtId="0" fontId="0" fillId="0" borderId="0" xfId="0" applyAlignment="1">
      <alignment horizontal="right"/>
    </xf>
    <xf numFmtId="0" fontId="5" fillId="5" borderId="2" xfId="1" applyFont="1" applyFill="1" applyBorder="1" applyAlignment="1">
      <alignment horizontal="left" vertical="center"/>
    </xf>
    <xf numFmtId="0" fontId="5" fillId="5" borderId="2" xfId="1" applyFont="1" applyFill="1" applyBorder="1" applyAlignment="1">
      <alignment horizontal="center" vertical="center"/>
    </xf>
    <xf numFmtId="0" fontId="5" fillId="5" borderId="2" xfId="1" applyFont="1" applyFill="1" applyBorder="1" applyAlignment="1">
      <alignment horizontal="center"/>
    </xf>
    <xf numFmtId="0" fontId="6" fillId="6" borderId="2" xfId="1" applyFont="1" applyFill="1" applyBorder="1"/>
    <xf numFmtId="2" fontId="6" fillId="0" borderId="2" xfId="1" applyNumberFormat="1" applyFont="1" applyFill="1" applyBorder="1" applyAlignment="1">
      <alignment horizontal="center" vertical="center"/>
    </xf>
    <xf numFmtId="2" fontId="6" fillId="0" borderId="2" xfId="1" applyNumberFormat="1" applyFont="1" applyFill="1" applyBorder="1" applyAlignment="1">
      <alignment horizontal="center"/>
    </xf>
    <xf numFmtId="164" fontId="6" fillId="0" borderId="2" xfId="1" applyNumberFormat="1" applyFont="1" applyFill="1" applyBorder="1" applyAlignment="1">
      <alignment horizontal="center" vertical="center"/>
    </xf>
    <xf numFmtId="164" fontId="7" fillId="0" borderId="2" xfId="0" applyNumberFormat="1" applyFont="1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6" fillId="7" borderId="0" xfId="1" applyFont="1" applyFill="1" applyBorder="1"/>
    <xf numFmtId="0" fontId="0" fillId="7" borderId="0" xfId="0" applyFill="1" applyBorder="1" applyAlignment="1">
      <alignment horizontal="center"/>
    </xf>
    <xf numFmtId="0" fontId="0" fillId="0" borderId="0" xfId="0" applyFill="1" applyAlignment="1">
      <alignment horizontal="right"/>
    </xf>
    <xf numFmtId="0" fontId="8" fillId="6" borderId="2" xfId="0" applyFont="1" applyFill="1" applyBorder="1"/>
    <xf numFmtId="0" fontId="8" fillId="0" borderId="2" xfId="1" applyFont="1" applyFill="1" applyBorder="1" applyAlignment="1">
      <alignment horizontal="center"/>
    </xf>
    <xf numFmtId="2" fontId="8" fillId="0" borderId="2" xfId="1" applyNumberFormat="1" applyFont="1" applyFill="1" applyBorder="1" applyAlignment="1">
      <alignment horizontal="center"/>
    </xf>
    <xf numFmtId="0" fontId="8" fillId="2" borderId="2" xfId="0" applyFont="1" applyFill="1" applyBorder="1"/>
    <xf numFmtId="1" fontId="0" fillId="2" borderId="2" xfId="0" applyNumberFormat="1" applyFill="1" applyBorder="1" applyAlignment="1">
      <alignment horizontal="center"/>
    </xf>
    <xf numFmtId="1" fontId="0" fillId="8" borderId="2" xfId="0" applyNumberFormat="1" applyFill="1" applyBorder="1" applyAlignment="1">
      <alignment horizontal="right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/>
    <xf numFmtId="0" fontId="11" fillId="0" borderId="5" xfId="0" applyFont="1" applyBorder="1" applyAlignment="1">
      <alignment horizontal="left" wrapText="1"/>
    </xf>
    <xf numFmtId="0" fontId="11" fillId="0" borderId="6" xfId="0" applyFont="1" applyBorder="1" applyAlignment="1">
      <alignment horizontal="left" wrapText="1"/>
    </xf>
    <xf numFmtId="0" fontId="11" fillId="0" borderId="0" xfId="0" applyFont="1" applyBorder="1" applyAlignment="1">
      <alignment wrapText="1"/>
    </xf>
    <xf numFmtId="0" fontId="11" fillId="0" borderId="8" xfId="0" applyFont="1" applyBorder="1" applyAlignment="1">
      <alignment horizontal="left" wrapText="1"/>
    </xf>
    <xf numFmtId="0" fontId="11" fillId="0" borderId="9" xfId="0" applyFont="1" applyBorder="1" applyAlignment="1">
      <alignment horizontal="left" wrapText="1"/>
    </xf>
    <xf numFmtId="0" fontId="0" fillId="6" borderId="1" xfId="0" applyFill="1" applyBorder="1"/>
    <xf numFmtId="0" fontId="0" fillId="0" borderId="1" xfId="0" applyBorder="1"/>
    <xf numFmtId="2" fontId="0" fillId="0" borderId="1" xfId="0" applyNumberFormat="1" applyBorder="1"/>
    <xf numFmtId="0" fontId="13" fillId="6" borderId="1" xfId="0" applyFont="1" applyFill="1" applyBorder="1"/>
    <xf numFmtId="0" fontId="12" fillId="0" borderId="1" xfId="0" applyFont="1" applyBorder="1"/>
    <xf numFmtId="2" fontId="12" fillId="0" borderId="1" xfId="0" applyNumberFormat="1" applyFont="1" applyBorder="1"/>
    <xf numFmtId="1" fontId="0" fillId="0" borderId="1" xfId="0" applyNumberFormat="1" applyBorder="1"/>
    <xf numFmtId="1" fontId="0" fillId="11" borderId="1" xfId="0" applyNumberFormat="1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11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6" borderId="11" xfId="0" applyFill="1" applyBorder="1" applyAlignment="1">
      <alignment horizontal="left" vertical="center"/>
    </xf>
    <xf numFmtId="2" fontId="0" fillId="0" borderId="0" xfId="0" applyNumberFormat="1" applyBorder="1"/>
    <xf numFmtId="0" fontId="5" fillId="10" borderId="2" xfId="1" applyFont="1" applyFill="1" applyBorder="1" applyAlignment="1">
      <alignment horizontal="center"/>
    </xf>
    <xf numFmtId="0" fontId="0" fillId="0" borderId="1" xfId="0" applyFill="1" applyBorder="1"/>
    <xf numFmtId="0" fontId="12" fillId="0" borderId="0" xfId="0" applyFont="1" applyBorder="1" applyAlignment="1">
      <alignment horizontal="center"/>
    </xf>
    <xf numFmtId="0" fontId="12" fillId="10" borderId="0" xfId="0" applyFont="1" applyFill="1" applyBorder="1" applyAlignment="1">
      <alignment horizontal="center"/>
    </xf>
    <xf numFmtId="2" fontId="12" fillId="0" borderId="1" xfId="0" applyNumberFormat="1" applyFont="1" applyBorder="1" applyAlignment="1">
      <alignment horizontal="center"/>
    </xf>
    <xf numFmtId="2" fontId="12" fillId="10" borderId="1" xfId="0" applyNumberFormat="1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0" xfId="0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10" borderId="1" xfId="0" applyFont="1" applyFill="1" applyBorder="1" applyAlignment="1">
      <alignment horizontal="center"/>
    </xf>
    <xf numFmtId="1" fontId="12" fillId="0" borderId="1" xfId="0" applyNumberFormat="1" applyFont="1" applyBorder="1" applyAlignment="1">
      <alignment horizontal="center"/>
    </xf>
    <xf numFmtId="1" fontId="12" fillId="10" borderId="1" xfId="0" applyNumberFormat="1" applyFont="1" applyFill="1" applyBorder="1" applyAlignment="1">
      <alignment horizontal="center"/>
    </xf>
    <xf numFmtId="0" fontId="0" fillId="0" borderId="10" xfId="0" applyFill="1" applyBorder="1" applyAlignment="1">
      <alignment vertical="center"/>
    </xf>
    <xf numFmtId="1" fontId="12" fillId="0" borderId="0" xfId="0" applyNumberFormat="1" applyFont="1" applyAlignment="1">
      <alignment horizontal="center"/>
    </xf>
    <xf numFmtId="1" fontId="12" fillId="10" borderId="0" xfId="0" applyNumberFormat="1" applyFont="1" applyFill="1" applyAlignment="1">
      <alignment horizontal="center"/>
    </xf>
    <xf numFmtId="0" fontId="0" fillId="0" borderId="1" xfId="0" applyFill="1" applyBorder="1" applyAlignment="1">
      <alignment vertical="center"/>
    </xf>
    <xf numFmtId="2" fontId="12" fillId="0" borderId="0" xfId="0" applyNumberFormat="1" applyFont="1" applyAlignment="1">
      <alignment horizontal="center"/>
    </xf>
    <xf numFmtId="2" fontId="12" fillId="10" borderId="0" xfId="0" applyNumberFormat="1" applyFont="1" applyFill="1" applyAlignment="1">
      <alignment horizontal="center"/>
    </xf>
    <xf numFmtId="0" fontId="12" fillId="0" borderId="0" xfId="0" applyFont="1" applyAlignment="1">
      <alignment horizontal="center"/>
    </xf>
    <xf numFmtId="0" fontId="12" fillId="10" borderId="0" xfId="0" applyFont="1" applyFill="1" applyAlignment="1">
      <alignment horizontal="center"/>
    </xf>
    <xf numFmtId="0" fontId="0" fillId="0" borderId="11" xfId="0" applyFill="1" applyBorder="1" applyAlignment="1">
      <alignment horizontal="left" vertical="center"/>
    </xf>
    <xf numFmtId="2" fontId="12" fillId="0" borderId="1" xfId="0" applyNumberFormat="1" applyFont="1" applyFill="1" applyBorder="1" applyAlignment="1">
      <alignment horizontal="center"/>
    </xf>
    <xf numFmtId="1" fontId="0" fillId="0" borderId="0" xfId="0" applyNumberFormat="1"/>
    <xf numFmtId="0" fontId="5" fillId="2" borderId="12" xfId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/>
    </xf>
    <xf numFmtId="0" fontId="5" fillId="5" borderId="12" xfId="1" applyFont="1" applyFill="1" applyBorder="1" applyAlignment="1">
      <alignment horizontal="left" vertical="center"/>
    </xf>
    <xf numFmtId="0" fontId="6" fillId="6" borderId="12" xfId="1" applyFont="1" applyFill="1" applyBorder="1"/>
    <xf numFmtId="2" fontId="8" fillId="13" borderId="12" xfId="1" applyNumberFormat="1" applyFont="1" applyFill="1" applyBorder="1" applyAlignment="1">
      <alignment horizontal="center"/>
    </xf>
    <xf numFmtId="0" fontId="6" fillId="14" borderId="12" xfId="1" applyFont="1" applyFill="1" applyBorder="1"/>
    <xf numFmtId="0" fontId="8" fillId="14" borderId="12" xfId="1" applyFont="1" applyFill="1" applyBorder="1" applyAlignment="1">
      <alignment horizontal="right"/>
    </xf>
    <xf numFmtId="0" fontId="8" fillId="6" borderId="12" xfId="0" applyFont="1" applyFill="1" applyBorder="1"/>
    <xf numFmtId="2" fontId="8" fillId="9" borderId="12" xfId="1" applyNumberFormat="1" applyFont="1" applyFill="1" applyBorder="1" applyAlignment="1">
      <alignment horizontal="center"/>
    </xf>
    <xf numFmtId="164" fontId="8" fillId="13" borderId="12" xfId="1" applyNumberFormat="1" applyFont="1" applyFill="1" applyBorder="1" applyAlignment="1">
      <alignment horizontal="center"/>
    </xf>
    <xf numFmtId="164" fontId="0" fillId="0" borderId="0" xfId="0" applyNumberFormat="1" applyAlignment="1">
      <alignment horizontal="right"/>
    </xf>
    <xf numFmtId="164" fontId="0" fillId="13" borderId="12" xfId="0" applyNumberFormat="1" applyFill="1" applyBorder="1" applyAlignment="1">
      <alignment horizontal="center"/>
    </xf>
    <xf numFmtId="2" fontId="0" fillId="13" borderId="12" xfId="0" applyNumberFormat="1" applyFill="1" applyBorder="1" applyAlignment="1">
      <alignment horizontal="center"/>
    </xf>
    <xf numFmtId="2" fontId="0" fillId="0" borderId="12" xfId="0" applyNumberFormat="1" applyFill="1" applyBorder="1" applyAlignment="1">
      <alignment horizontal="center"/>
    </xf>
    <xf numFmtId="0" fontId="0" fillId="0" borderId="0" xfId="0" applyFill="1"/>
    <xf numFmtId="0" fontId="8" fillId="6" borderId="13" xfId="0" applyFont="1" applyFill="1" applyBorder="1"/>
    <xf numFmtId="0" fontId="8" fillId="0" borderId="13" xfId="1" applyFont="1" applyFill="1" applyBorder="1" applyAlignment="1">
      <alignment horizontal="center"/>
    </xf>
    <xf numFmtId="0" fontId="6" fillId="6" borderId="13" xfId="1" applyFont="1" applyFill="1" applyBorder="1"/>
    <xf numFmtId="1" fontId="0" fillId="0" borderId="0" xfId="0" applyNumberFormat="1" applyAlignment="1">
      <alignment horizontal="right"/>
    </xf>
    <xf numFmtId="1" fontId="0" fillId="15" borderId="2" xfId="0" applyNumberFormat="1" applyFill="1" applyBorder="1" applyAlignment="1">
      <alignment horizontal="center"/>
    </xf>
    <xf numFmtId="164" fontId="0" fillId="15" borderId="2" xfId="0" applyNumberFormat="1" applyFill="1" applyBorder="1" applyAlignment="1">
      <alignment horizontal="center"/>
    </xf>
    <xf numFmtId="164" fontId="15" fillId="12" borderId="2" xfId="0" applyNumberFormat="1" applyFont="1" applyFill="1" applyBorder="1" applyAlignment="1">
      <alignment horizontal="center"/>
    </xf>
    <xf numFmtId="0" fontId="6" fillId="6" borderId="14" xfId="1" applyFont="1" applyFill="1" applyBorder="1" applyAlignment="1"/>
    <xf numFmtId="0" fontId="0" fillId="0" borderId="16" xfId="0" applyBorder="1" applyAlignment="1">
      <alignment horizontal="center"/>
    </xf>
    <xf numFmtId="0" fontId="0" fillId="8" borderId="2" xfId="0" applyFill="1" applyBorder="1" applyAlignment="1">
      <alignment horizontal="right"/>
    </xf>
    <xf numFmtId="0" fontId="0" fillId="0" borderId="2" xfId="0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2" fontId="0" fillId="9" borderId="13" xfId="0" applyNumberFormat="1" applyFill="1" applyBorder="1"/>
    <xf numFmtId="165" fontId="9" fillId="11" borderId="2" xfId="0" applyNumberFormat="1" applyFont="1" applyFill="1" applyBorder="1"/>
    <xf numFmtId="2" fontId="9" fillId="11" borderId="2" xfId="0" applyNumberFormat="1" applyFont="1" applyFill="1" applyBorder="1"/>
    <xf numFmtId="0" fontId="13" fillId="0" borderId="2" xfId="0" applyFont="1" applyBorder="1"/>
    <xf numFmtId="0" fontId="9" fillId="10" borderId="2" xfId="0" applyFont="1" applyFill="1" applyBorder="1"/>
    <xf numFmtId="0" fontId="5" fillId="9" borderId="12" xfId="1" applyFont="1" applyFill="1" applyBorder="1" applyAlignment="1">
      <alignment horizontal="center" vertical="center"/>
    </xf>
    <xf numFmtId="0" fontId="5" fillId="9" borderId="12" xfId="1" applyFont="1" applyFill="1" applyBorder="1" applyAlignment="1">
      <alignment horizontal="center"/>
    </xf>
    <xf numFmtId="164" fontId="7" fillId="9" borderId="12" xfId="0" applyNumberFormat="1" applyFont="1" applyFill="1" applyBorder="1" applyAlignment="1">
      <alignment horizontal="center"/>
    </xf>
    <xf numFmtId="0" fontId="8" fillId="9" borderId="12" xfId="1" applyFont="1" applyFill="1" applyBorder="1" applyAlignment="1">
      <alignment horizontal="center"/>
    </xf>
    <xf numFmtId="0" fontId="5" fillId="0" borderId="12" xfId="1" applyFont="1" applyFill="1" applyBorder="1" applyAlignment="1">
      <alignment horizontal="center" vertical="center"/>
    </xf>
    <xf numFmtId="164" fontId="7" fillId="0" borderId="12" xfId="0" applyNumberFormat="1" applyFont="1" applyFill="1" applyBorder="1" applyAlignment="1">
      <alignment horizontal="center"/>
    </xf>
    <xf numFmtId="2" fontId="8" fillId="0" borderId="12" xfId="1" applyNumberFormat="1" applyFont="1" applyFill="1" applyBorder="1" applyAlignment="1">
      <alignment horizontal="center"/>
    </xf>
    <xf numFmtId="164" fontId="15" fillId="0" borderId="12" xfId="0" applyNumberFormat="1" applyFont="1" applyFill="1" applyBorder="1" applyAlignment="1">
      <alignment horizontal="center"/>
    </xf>
    <xf numFmtId="0" fontId="8" fillId="0" borderId="12" xfId="1" applyFont="1" applyFill="1" applyBorder="1" applyAlignment="1">
      <alignment horizontal="center"/>
    </xf>
    <xf numFmtId="0" fontId="8" fillId="0" borderId="12" xfId="1" applyFont="1" applyFill="1" applyBorder="1" applyAlignment="1">
      <alignment horizontal="right"/>
    </xf>
    <xf numFmtId="164" fontId="0" fillId="0" borderId="12" xfId="0" applyNumberFormat="1" applyFill="1" applyBorder="1" applyAlignment="1">
      <alignment horizontal="center"/>
    </xf>
    <xf numFmtId="0" fontId="5" fillId="0" borderId="2" xfId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1" fontId="0" fillId="0" borderId="2" xfId="0" applyNumberFormat="1" applyFill="1" applyBorder="1" applyAlignment="1">
      <alignment horizontal="center"/>
    </xf>
    <xf numFmtId="164" fontId="15" fillId="0" borderId="2" xfId="0" applyNumberFormat="1" applyFont="1" applyFill="1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17" xfId="0" applyFill="1" applyBorder="1" applyAlignment="1">
      <alignment horizontal="center"/>
    </xf>
    <xf numFmtId="164" fontId="0" fillId="0" borderId="2" xfId="0" applyNumberFormat="1" applyFill="1" applyBorder="1" applyAlignment="1">
      <alignment horizontal="center"/>
    </xf>
    <xf numFmtId="164" fontId="8" fillId="8" borderId="12" xfId="1" applyNumberFormat="1" applyFont="1" applyFill="1" applyBorder="1" applyAlignment="1">
      <alignment horizontal="center"/>
    </xf>
    <xf numFmtId="0" fontId="5" fillId="2" borderId="13" xfId="1" applyFont="1" applyFill="1" applyBorder="1" applyAlignment="1">
      <alignment horizontal="center" vertical="center"/>
    </xf>
    <xf numFmtId="0" fontId="5" fillId="2" borderId="13" xfId="1" applyFont="1" applyFill="1" applyBorder="1" applyAlignment="1">
      <alignment horizontal="center"/>
    </xf>
    <xf numFmtId="0" fontId="13" fillId="0" borderId="2" xfId="0" applyFont="1" applyBorder="1" applyAlignment="1">
      <alignment horizontal="left"/>
    </xf>
    <xf numFmtId="0" fontId="5" fillId="2" borderId="12" xfId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6" fillId="6" borderId="2" xfId="1" applyFont="1" applyFill="1" applyBorder="1" applyAlignment="1">
      <alignment horizontal="left"/>
    </xf>
    <xf numFmtId="0" fontId="0" fillId="6" borderId="2" xfId="0" applyFill="1" applyBorder="1" applyAlignment="1">
      <alignment horizontal="left"/>
    </xf>
    <xf numFmtId="0" fontId="0" fillId="9" borderId="18" xfId="0" applyFill="1" applyBorder="1" applyAlignment="1">
      <alignment horizontal="left"/>
    </xf>
    <xf numFmtId="0" fontId="0" fillId="9" borderId="19" xfId="0" applyFill="1" applyBorder="1" applyAlignment="1">
      <alignment horizontal="left"/>
    </xf>
    <xf numFmtId="0" fontId="0" fillId="9" borderId="17" xfId="0" applyFill="1" applyBorder="1" applyAlignment="1">
      <alignment horizontal="left"/>
    </xf>
    <xf numFmtId="0" fontId="14" fillId="0" borderId="0" xfId="0" applyFont="1" applyAlignment="1">
      <alignment horizontal="left"/>
    </xf>
    <xf numFmtId="0" fontId="10" fillId="9" borderId="3" xfId="0" applyFont="1" applyFill="1" applyBorder="1" applyAlignment="1">
      <alignment horizontal="left" wrapText="1"/>
    </xf>
    <xf numFmtId="0" fontId="10" fillId="9" borderId="4" xfId="0" applyFont="1" applyFill="1" applyBorder="1" applyAlignment="1">
      <alignment horizontal="left" wrapText="1"/>
    </xf>
    <xf numFmtId="0" fontId="1" fillId="6" borderId="1" xfId="0" applyFont="1" applyFill="1" applyBorder="1" applyAlignment="1">
      <alignment horizontal="left"/>
    </xf>
    <xf numFmtId="0" fontId="0" fillId="6" borderId="10" xfId="0" applyFill="1" applyBorder="1" applyAlignment="1">
      <alignment horizontal="left" vertical="center"/>
    </xf>
    <xf numFmtId="0" fontId="0" fillId="6" borderId="11" xfId="0" applyFill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10" borderId="3" xfId="0" applyFont="1" applyFill="1" applyBorder="1" applyAlignment="1">
      <alignment horizontal="left"/>
    </xf>
    <xf numFmtId="0" fontId="2" fillId="10" borderId="7" xfId="0" applyFont="1" applyFill="1" applyBorder="1" applyAlignment="1">
      <alignment horizontal="left"/>
    </xf>
    <xf numFmtId="0" fontId="2" fillId="10" borderId="4" xfId="0" applyFont="1" applyFill="1" applyBorder="1" applyAlignment="1">
      <alignment horizontal="left"/>
    </xf>
    <xf numFmtId="0" fontId="1" fillId="6" borderId="3" xfId="0" applyFont="1" applyFill="1" applyBorder="1" applyAlignment="1">
      <alignment horizontal="left"/>
    </xf>
    <xf numFmtId="0" fontId="1" fillId="6" borderId="7" xfId="0" applyFont="1" applyFill="1" applyBorder="1" applyAlignment="1">
      <alignment horizontal="left"/>
    </xf>
    <xf numFmtId="0" fontId="1" fillId="6" borderId="4" xfId="0" applyFont="1" applyFill="1" applyBorder="1" applyAlignment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2"/>
  <sheetViews>
    <sheetView showGridLines="0" topLeftCell="B1" workbookViewId="0">
      <selection activeCell="C16" sqref="C16:N16"/>
    </sheetView>
  </sheetViews>
  <sheetFormatPr baseColWidth="10" defaultRowHeight="15.75"/>
  <cols>
    <col min="1" max="1" width="24.625" customWidth="1"/>
    <col min="2" max="2" width="23.375" customWidth="1"/>
    <col min="3" max="3" width="9.5" style="86" customWidth="1"/>
    <col min="4" max="14" width="9.5" customWidth="1"/>
    <col min="15" max="15" width="11" style="6"/>
  </cols>
  <sheetData>
    <row r="1" spans="1:14">
      <c r="B1" s="127" t="s">
        <v>72</v>
      </c>
      <c r="C1" s="128" t="s">
        <v>73</v>
      </c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</row>
    <row r="2" spans="1:14">
      <c r="B2" s="127"/>
      <c r="C2" s="109" t="s">
        <v>13</v>
      </c>
      <c r="D2" s="72" t="s">
        <v>14</v>
      </c>
      <c r="E2" s="72" t="s">
        <v>15</v>
      </c>
      <c r="F2" s="73" t="s">
        <v>16</v>
      </c>
      <c r="G2" s="73" t="s">
        <v>17</v>
      </c>
      <c r="H2" s="73" t="s">
        <v>18</v>
      </c>
      <c r="I2" s="73" t="s">
        <v>19</v>
      </c>
      <c r="J2" s="73" t="s">
        <v>20</v>
      </c>
      <c r="K2" s="73" t="s">
        <v>21</v>
      </c>
      <c r="L2" s="73" t="s">
        <v>22</v>
      </c>
      <c r="M2" s="73" t="s">
        <v>23</v>
      </c>
      <c r="N2" s="73" t="s">
        <v>24</v>
      </c>
    </row>
    <row r="3" spans="1:14">
      <c r="B3" s="74" t="s">
        <v>25</v>
      </c>
      <c r="C3" s="109">
        <v>31</v>
      </c>
      <c r="D3" s="105">
        <v>28</v>
      </c>
      <c r="E3" s="105">
        <v>31</v>
      </c>
      <c r="F3" s="106">
        <v>30</v>
      </c>
      <c r="G3" s="106">
        <v>31</v>
      </c>
      <c r="H3" s="106">
        <v>30</v>
      </c>
      <c r="I3" s="106">
        <v>31</v>
      </c>
      <c r="J3" s="106">
        <v>31</v>
      </c>
      <c r="K3" s="106">
        <v>30</v>
      </c>
      <c r="L3" s="106">
        <v>31</v>
      </c>
      <c r="M3" s="106">
        <v>30</v>
      </c>
      <c r="N3" s="106">
        <v>31</v>
      </c>
    </row>
    <row r="4" spans="1:14">
      <c r="B4" s="75" t="s">
        <v>104</v>
      </c>
      <c r="C4" s="110">
        <v>64.8</v>
      </c>
      <c r="D4" s="107">
        <v>51.8</v>
      </c>
      <c r="E4" s="107">
        <v>75.400000000000006</v>
      </c>
      <c r="F4" s="107">
        <v>98.8</v>
      </c>
      <c r="G4" s="107">
        <v>145.19999999999999</v>
      </c>
      <c r="H4" s="107">
        <v>179.2</v>
      </c>
      <c r="I4" s="107">
        <v>231.5</v>
      </c>
      <c r="J4" s="107">
        <v>233</v>
      </c>
      <c r="K4" s="107">
        <v>161.4</v>
      </c>
      <c r="L4" s="107">
        <v>122.1</v>
      </c>
      <c r="M4" s="107">
        <v>73.099999999999994</v>
      </c>
      <c r="N4" s="107">
        <v>48.9</v>
      </c>
    </row>
    <row r="5" spans="1:14">
      <c r="B5" s="75" t="s">
        <v>105</v>
      </c>
      <c r="C5" s="111">
        <f>C4/C3</f>
        <v>2.0903225806451613</v>
      </c>
      <c r="D5" s="80">
        <f t="shared" ref="D5:N5" si="0">D4/D3</f>
        <v>1.8499999999999999</v>
      </c>
      <c r="E5" s="80">
        <f t="shared" si="0"/>
        <v>2.4322580645161294</v>
      </c>
      <c r="F5" s="80">
        <f t="shared" si="0"/>
        <v>3.2933333333333334</v>
      </c>
      <c r="G5" s="80">
        <f t="shared" si="0"/>
        <v>4.6838709677419352</v>
      </c>
      <c r="H5" s="80">
        <f t="shared" si="0"/>
        <v>5.9733333333333327</v>
      </c>
      <c r="I5" s="80">
        <f t="shared" si="0"/>
        <v>7.467741935483871</v>
      </c>
      <c r="J5" s="80">
        <f t="shared" si="0"/>
        <v>7.5161290322580649</v>
      </c>
      <c r="K5" s="80">
        <f t="shared" si="0"/>
        <v>5.38</v>
      </c>
      <c r="L5" s="80">
        <f t="shared" si="0"/>
        <v>3.9387096774193546</v>
      </c>
      <c r="M5" s="80">
        <f t="shared" si="0"/>
        <v>2.4366666666666665</v>
      </c>
      <c r="N5" s="80">
        <f t="shared" si="0"/>
        <v>1.5774193548387097</v>
      </c>
    </row>
    <row r="6" spans="1:14">
      <c r="B6" s="75" t="s">
        <v>74</v>
      </c>
      <c r="C6" s="112">
        <v>0</v>
      </c>
      <c r="D6" s="112">
        <v>0</v>
      </c>
      <c r="E6" s="112">
        <v>0</v>
      </c>
      <c r="F6" s="112">
        <v>0</v>
      </c>
      <c r="G6" s="112">
        <v>0</v>
      </c>
      <c r="H6" s="112">
        <v>0</v>
      </c>
      <c r="I6" s="112">
        <v>0</v>
      </c>
      <c r="J6" s="112">
        <v>0</v>
      </c>
      <c r="K6" s="112">
        <v>0</v>
      </c>
      <c r="L6" s="112">
        <v>0</v>
      </c>
      <c r="M6" s="112">
        <v>0</v>
      </c>
      <c r="N6" s="112">
        <v>0</v>
      </c>
    </row>
    <row r="7" spans="1:14">
      <c r="A7" t="s">
        <v>106</v>
      </c>
      <c r="B7" s="75" t="s">
        <v>75</v>
      </c>
      <c r="C7" s="113">
        <f>C6*0.7</f>
        <v>0</v>
      </c>
      <c r="D7" s="108">
        <f t="shared" ref="D7:N7" si="1">D6*0.7</f>
        <v>0</v>
      </c>
      <c r="E7" s="108">
        <f t="shared" si="1"/>
        <v>0</v>
      </c>
      <c r="F7" s="108">
        <f t="shared" si="1"/>
        <v>0</v>
      </c>
      <c r="G7" s="108">
        <f t="shared" si="1"/>
        <v>0</v>
      </c>
      <c r="H7" s="108">
        <f t="shared" si="1"/>
        <v>0</v>
      </c>
      <c r="I7" s="108">
        <f t="shared" si="1"/>
        <v>0</v>
      </c>
      <c r="J7" s="108">
        <f t="shared" si="1"/>
        <v>0</v>
      </c>
      <c r="K7" s="108">
        <f t="shared" si="1"/>
        <v>0</v>
      </c>
      <c r="L7" s="108">
        <f t="shared" si="1"/>
        <v>0</v>
      </c>
      <c r="M7" s="108">
        <f t="shared" si="1"/>
        <v>0</v>
      </c>
      <c r="N7" s="108">
        <f t="shared" si="1"/>
        <v>0</v>
      </c>
    </row>
    <row r="8" spans="1:14">
      <c r="B8" s="75" t="s">
        <v>32</v>
      </c>
      <c r="C8" s="111">
        <v>0.9</v>
      </c>
      <c r="D8" s="80">
        <v>0.9</v>
      </c>
      <c r="E8" s="80">
        <v>0.9</v>
      </c>
      <c r="F8" s="80">
        <v>0.9</v>
      </c>
      <c r="G8" s="80">
        <v>0.9</v>
      </c>
      <c r="H8" s="80">
        <v>0.9</v>
      </c>
      <c r="I8" s="80">
        <v>0.9</v>
      </c>
      <c r="J8" s="80">
        <v>0.9</v>
      </c>
      <c r="K8" s="80">
        <v>0.9</v>
      </c>
      <c r="L8" s="80">
        <v>0.9</v>
      </c>
      <c r="M8" s="80">
        <v>0.9</v>
      </c>
      <c r="N8" s="80">
        <v>0.9</v>
      </c>
    </row>
    <row r="9" spans="1:14">
      <c r="B9" s="77"/>
      <c r="C9" s="114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</row>
    <row r="10" spans="1:14">
      <c r="B10" s="79" t="s">
        <v>12</v>
      </c>
      <c r="C10" s="20">
        <v>0.3</v>
      </c>
      <c r="D10" s="20">
        <v>0.4</v>
      </c>
      <c r="E10" s="20">
        <v>0.4</v>
      </c>
      <c r="F10" s="20">
        <v>0.5</v>
      </c>
      <c r="G10" s="20">
        <v>0.8</v>
      </c>
      <c r="H10" s="20">
        <v>1</v>
      </c>
      <c r="I10" s="20">
        <v>1.05</v>
      </c>
      <c r="J10" s="20">
        <v>1.05</v>
      </c>
      <c r="K10" s="20">
        <v>1.05</v>
      </c>
      <c r="L10" s="20">
        <v>1</v>
      </c>
      <c r="M10" s="20">
        <v>1</v>
      </c>
      <c r="N10" s="20">
        <v>0.8</v>
      </c>
    </row>
    <row r="11" spans="1:14">
      <c r="B11" s="79" t="s">
        <v>30</v>
      </c>
      <c r="C11" s="113">
        <v>0.7</v>
      </c>
      <c r="D11" s="113">
        <v>0.7</v>
      </c>
      <c r="E11" s="113">
        <v>0.7</v>
      </c>
      <c r="F11" s="113">
        <v>0.7</v>
      </c>
      <c r="G11" s="113">
        <v>0.7</v>
      </c>
      <c r="H11" s="113">
        <v>0.7</v>
      </c>
      <c r="I11" s="113">
        <v>0.7</v>
      </c>
      <c r="J11" s="113">
        <v>0.7</v>
      </c>
      <c r="K11" s="113">
        <v>0.7</v>
      </c>
      <c r="L11" s="113">
        <v>0.7</v>
      </c>
      <c r="M11" s="113">
        <v>0.7</v>
      </c>
      <c r="N11" s="113">
        <v>0.7</v>
      </c>
    </row>
    <row r="12" spans="1:14">
      <c r="A12" t="s">
        <v>76</v>
      </c>
      <c r="B12" s="79" t="s">
        <v>77</v>
      </c>
      <c r="C12" s="111">
        <f>C11*C10*C5</f>
        <v>0.43896774193548388</v>
      </c>
      <c r="D12" s="76">
        <f t="shared" ref="D12:N12" si="2">D11*D10*D5</f>
        <v>0.5179999999999999</v>
      </c>
      <c r="E12" s="76">
        <f t="shared" si="2"/>
        <v>0.68103225806451617</v>
      </c>
      <c r="F12" s="76">
        <f t="shared" si="2"/>
        <v>1.1526666666666667</v>
      </c>
      <c r="G12" s="76">
        <f t="shared" si="2"/>
        <v>2.6229677419354833</v>
      </c>
      <c r="H12" s="76">
        <f t="shared" si="2"/>
        <v>4.1813333333333329</v>
      </c>
      <c r="I12" s="76">
        <f t="shared" si="2"/>
        <v>5.4887903225806447</v>
      </c>
      <c r="J12" s="76">
        <f>J11*J10*J5</f>
        <v>5.5243548387096775</v>
      </c>
      <c r="K12" s="76">
        <f t="shared" si="2"/>
        <v>3.9542999999999999</v>
      </c>
      <c r="L12" s="76">
        <f t="shared" si="2"/>
        <v>2.7570967741935481</v>
      </c>
      <c r="M12" s="76">
        <f t="shared" si="2"/>
        <v>1.7056666666666664</v>
      </c>
      <c r="N12" s="76">
        <f t="shared" si="2"/>
        <v>0.88335483870967735</v>
      </c>
    </row>
    <row r="13" spans="1:14">
      <c r="A13" t="s">
        <v>78</v>
      </c>
      <c r="B13" s="79" t="s">
        <v>79</v>
      </c>
      <c r="C13" s="111">
        <f>C12*C8</f>
        <v>0.39507096774193551</v>
      </c>
      <c r="D13" s="76">
        <f t="shared" ref="D13:N13" si="3">D12*D8</f>
        <v>0.46619999999999995</v>
      </c>
      <c r="E13" s="76">
        <f t="shared" si="3"/>
        <v>0.61292903225806461</v>
      </c>
      <c r="F13" s="76">
        <f t="shared" si="3"/>
        <v>1.0374000000000001</v>
      </c>
      <c r="G13" s="76">
        <f t="shared" si="3"/>
        <v>2.3606709677419349</v>
      </c>
      <c r="H13" s="76">
        <f t="shared" si="3"/>
        <v>3.7631999999999999</v>
      </c>
      <c r="I13" s="76">
        <f t="shared" si="3"/>
        <v>4.9399112903225806</v>
      </c>
      <c r="J13" s="76">
        <f>J12*J8</f>
        <v>4.9719193548387102</v>
      </c>
      <c r="K13" s="76">
        <f t="shared" si="3"/>
        <v>3.5588700000000002</v>
      </c>
      <c r="L13" s="76">
        <f t="shared" si="3"/>
        <v>2.4813870967741933</v>
      </c>
      <c r="M13" s="76">
        <f t="shared" si="3"/>
        <v>1.5350999999999999</v>
      </c>
      <c r="N13" s="76">
        <f t="shared" si="3"/>
        <v>0.79501935483870967</v>
      </c>
    </row>
    <row r="14" spans="1:14">
      <c r="B14" s="79" t="s">
        <v>80</v>
      </c>
      <c r="C14" s="111">
        <f>C5-(C7/C3)</f>
        <v>2.0903225806451613</v>
      </c>
      <c r="D14" s="76">
        <f t="shared" ref="D14:N14" si="4">D5-(D7/D3)</f>
        <v>1.8499999999999999</v>
      </c>
      <c r="E14" s="76">
        <f t="shared" si="4"/>
        <v>2.4322580645161294</v>
      </c>
      <c r="F14" s="76">
        <f t="shared" si="4"/>
        <v>3.2933333333333334</v>
      </c>
      <c r="G14" s="76">
        <f t="shared" si="4"/>
        <v>4.6838709677419352</v>
      </c>
      <c r="H14" s="76">
        <f t="shared" si="4"/>
        <v>5.9733333333333327</v>
      </c>
      <c r="I14" s="76">
        <f t="shared" si="4"/>
        <v>7.467741935483871</v>
      </c>
      <c r="J14" s="80">
        <f>J5-(J7/J3)</f>
        <v>7.5161290322580649</v>
      </c>
      <c r="K14" s="76">
        <f t="shared" si="4"/>
        <v>5.38</v>
      </c>
      <c r="L14" s="76">
        <f t="shared" si="4"/>
        <v>3.9387096774193546</v>
      </c>
      <c r="M14" s="76">
        <f t="shared" si="4"/>
        <v>2.4366666666666665</v>
      </c>
      <c r="N14" s="76">
        <f t="shared" si="4"/>
        <v>1.5774193548387097</v>
      </c>
    </row>
    <row r="15" spans="1:14">
      <c r="B15" s="79" t="s">
        <v>81</v>
      </c>
      <c r="C15" s="111">
        <f>C13*10</f>
        <v>3.9507096774193551</v>
      </c>
      <c r="D15" s="76">
        <f t="shared" ref="D15:N15" si="5">D13*10</f>
        <v>4.661999999999999</v>
      </c>
      <c r="E15" s="76">
        <f t="shared" si="5"/>
        <v>6.1292903225806459</v>
      </c>
      <c r="F15" s="76">
        <f t="shared" si="5"/>
        <v>10.374000000000001</v>
      </c>
      <c r="G15" s="76">
        <f t="shared" si="5"/>
        <v>23.606709677419349</v>
      </c>
      <c r="H15" s="76">
        <f t="shared" si="5"/>
        <v>37.631999999999998</v>
      </c>
      <c r="I15" s="76">
        <f t="shared" si="5"/>
        <v>49.399112903225806</v>
      </c>
      <c r="J15" s="76">
        <f>J13*10</f>
        <v>49.719193548387103</v>
      </c>
      <c r="K15" s="76">
        <f t="shared" si="5"/>
        <v>35.588700000000003</v>
      </c>
      <c r="L15" s="76">
        <f t="shared" si="5"/>
        <v>24.813870967741934</v>
      </c>
      <c r="M15" s="76">
        <f t="shared" si="5"/>
        <v>15.350999999999999</v>
      </c>
      <c r="N15" s="76">
        <f t="shared" si="5"/>
        <v>7.9501935483870962</v>
      </c>
    </row>
    <row r="16" spans="1:14">
      <c r="B16" s="79" t="s">
        <v>31</v>
      </c>
      <c r="C16" s="113">
        <v>5</v>
      </c>
      <c r="D16" s="113">
        <v>5</v>
      </c>
      <c r="E16" s="113">
        <v>5</v>
      </c>
      <c r="F16" s="113">
        <v>5</v>
      </c>
      <c r="G16" s="113">
        <v>5</v>
      </c>
      <c r="H16" s="113">
        <v>5</v>
      </c>
      <c r="I16" s="113">
        <v>5</v>
      </c>
      <c r="J16" s="113">
        <v>5</v>
      </c>
      <c r="K16" s="113">
        <v>5</v>
      </c>
      <c r="L16" s="113">
        <v>5</v>
      </c>
      <c r="M16" s="113">
        <v>5</v>
      </c>
      <c r="N16" s="113">
        <v>5</v>
      </c>
    </row>
    <row r="17" spans="2:15">
      <c r="B17" s="79" t="s">
        <v>82</v>
      </c>
      <c r="C17" s="123">
        <f>C16*C15*C3</f>
        <v>612.36</v>
      </c>
      <c r="D17" s="81">
        <f t="shared" ref="D17:N17" si="6">D16*D15*D3</f>
        <v>652.67999999999984</v>
      </c>
      <c r="E17" s="81">
        <f t="shared" si="6"/>
        <v>950.04000000000008</v>
      </c>
      <c r="F17" s="81">
        <f t="shared" si="6"/>
        <v>1556.1000000000001</v>
      </c>
      <c r="G17" s="81">
        <f t="shared" si="6"/>
        <v>3659.0399999999991</v>
      </c>
      <c r="H17" s="81">
        <f t="shared" si="6"/>
        <v>5644.8</v>
      </c>
      <c r="I17" s="81">
        <f>I16*I15*I3</f>
        <v>7656.8625000000002</v>
      </c>
      <c r="J17" s="81">
        <f>J16*J15*J3</f>
        <v>7706.4750000000004</v>
      </c>
      <c r="K17" s="81">
        <f t="shared" si="6"/>
        <v>5338.3050000000012</v>
      </c>
      <c r="L17" s="81">
        <f t="shared" si="6"/>
        <v>3846.1499999999996</v>
      </c>
      <c r="M17" s="81">
        <f t="shared" si="6"/>
        <v>2302.6499999999996</v>
      </c>
      <c r="N17" s="81">
        <f t="shared" si="6"/>
        <v>1232.28</v>
      </c>
      <c r="O17" s="82">
        <f>SUM(C17:N17)</f>
        <v>41157.7425</v>
      </c>
    </row>
    <row r="18" spans="2:15">
      <c r="B18" s="77"/>
      <c r="C18" s="114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</row>
    <row r="19" spans="2:15">
      <c r="B19" s="75" t="s">
        <v>83</v>
      </c>
      <c r="C19" s="115">
        <f>C17</f>
        <v>612.36</v>
      </c>
      <c r="D19" s="83">
        <f t="shared" ref="D19:N19" si="7">D17</f>
        <v>652.67999999999984</v>
      </c>
      <c r="E19" s="83">
        <f t="shared" si="7"/>
        <v>950.04000000000008</v>
      </c>
      <c r="F19" s="83">
        <f t="shared" si="7"/>
        <v>1556.1000000000001</v>
      </c>
      <c r="G19" s="83">
        <f t="shared" si="7"/>
        <v>3659.0399999999991</v>
      </c>
      <c r="H19" s="83">
        <f t="shared" si="7"/>
        <v>5644.8</v>
      </c>
      <c r="I19" s="83">
        <f t="shared" si="7"/>
        <v>7656.8625000000002</v>
      </c>
      <c r="J19" s="83">
        <f t="shared" si="7"/>
        <v>7706.4750000000004</v>
      </c>
      <c r="K19" s="83">
        <f t="shared" si="7"/>
        <v>5338.3050000000012</v>
      </c>
      <c r="L19" s="83">
        <f t="shared" si="7"/>
        <v>3846.1499999999996</v>
      </c>
      <c r="M19" s="83">
        <f t="shared" si="7"/>
        <v>2302.6499999999996</v>
      </c>
      <c r="N19" s="83">
        <f t="shared" si="7"/>
        <v>1232.28</v>
      </c>
      <c r="O19" s="82">
        <f>SUM(C19:N19)</f>
        <v>41157.7425</v>
      </c>
    </row>
    <row r="20" spans="2:15">
      <c r="B20" s="75" t="s">
        <v>84</v>
      </c>
      <c r="C20" s="115">
        <f t="shared" ref="C20:N20" si="8">C19-(C16*C7*10)</f>
        <v>612.36</v>
      </c>
      <c r="D20" s="83">
        <f t="shared" si="8"/>
        <v>652.67999999999984</v>
      </c>
      <c r="E20" s="83">
        <f t="shared" si="8"/>
        <v>950.04000000000008</v>
      </c>
      <c r="F20" s="83">
        <f t="shared" si="8"/>
        <v>1556.1000000000001</v>
      </c>
      <c r="G20" s="83">
        <f t="shared" si="8"/>
        <v>3659.0399999999991</v>
      </c>
      <c r="H20" s="83">
        <f t="shared" si="8"/>
        <v>5644.8</v>
      </c>
      <c r="I20" s="83">
        <f t="shared" si="8"/>
        <v>7656.8625000000002</v>
      </c>
      <c r="J20" s="83">
        <f>J19-(J16*J7*10)</f>
        <v>7706.4750000000004</v>
      </c>
      <c r="K20" s="83">
        <f t="shared" si="8"/>
        <v>5338.3050000000012</v>
      </c>
      <c r="L20" s="83">
        <f t="shared" si="8"/>
        <v>3846.1499999999996</v>
      </c>
      <c r="M20" s="83">
        <f t="shared" si="8"/>
        <v>2302.6499999999996</v>
      </c>
      <c r="N20" s="83">
        <f t="shared" si="8"/>
        <v>1232.28</v>
      </c>
      <c r="O20" s="82">
        <f>SUM(C20:N20)</f>
        <v>41157.7425</v>
      </c>
    </row>
    <row r="21" spans="2:15">
      <c r="B21" s="75" t="s">
        <v>107</v>
      </c>
      <c r="C21" s="85">
        <f>4*3.6</f>
        <v>14.4</v>
      </c>
      <c r="D21" s="84">
        <f t="shared" ref="D21:N21" si="9">4*3.6</f>
        <v>14.4</v>
      </c>
      <c r="E21" s="84">
        <f t="shared" si="9"/>
        <v>14.4</v>
      </c>
      <c r="F21" s="84">
        <f t="shared" si="9"/>
        <v>14.4</v>
      </c>
      <c r="G21" s="84">
        <f t="shared" si="9"/>
        <v>14.4</v>
      </c>
      <c r="H21" s="84">
        <f t="shared" si="9"/>
        <v>14.4</v>
      </c>
      <c r="I21" s="84">
        <f t="shared" si="9"/>
        <v>14.4</v>
      </c>
      <c r="J21" s="84">
        <f t="shared" si="9"/>
        <v>14.4</v>
      </c>
      <c r="K21" s="84">
        <f t="shared" si="9"/>
        <v>14.4</v>
      </c>
      <c r="L21" s="84">
        <f t="shared" si="9"/>
        <v>14.4</v>
      </c>
      <c r="M21" s="84">
        <f t="shared" si="9"/>
        <v>14.4</v>
      </c>
      <c r="N21" s="84">
        <f t="shared" si="9"/>
        <v>14.4</v>
      </c>
    </row>
    <row r="22" spans="2:15">
      <c r="B22" s="75" t="s">
        <v>85</v>
      </c>
      <c r="C22" s="85">
        <f>(C20/C21)/C3</f>
        <v>1.3717741935483871</v>
      </c>
      <c r="D22" s="84">
        <f t="shared" ref="D22:N22" si="10">(D20/D21)/D3</f>
        <v>1.6187499999999997</v>
      </c>
      <c r="E22" s="84">
        <f t="shared" si="10"/>
        <v>2.1282258064516131</v>
      </c>
      <c r="F22" s="84">
        <f t="shared" si="10"/>
        <v>3.6020833333333333</v>
      </c>
      <c r="G22" s="84">
        <f t="shared" si="10"/>
        <v>8.1967741935483858</v>
      </c>
      <c r="H22" s="84">
        <f t="shared" si="10"/>
        <v>13.066666666666666</v>
      </c>
      <c r="I22" s="84">
        <f t="shared" si="10"/>
        <v>17.152469758064516</v>
      </c>
      <c r="J22" s="84">
        <f t="shared" si="10"/>
        <v>17.26360887096774</v>
      </c>
      <c r="K22" s="84">
        <f t="shared" si="10"/>
        <v>12.357187500000004</v>
      </c>
      <c r="L22" s="84">
        <f t="shared" si="10"/>
        <v>8.6159274193548363</v>
      </c>
      <c r="M22" s="84">
        <f t="shared" si="10"/>
        <v>5.3302083333333323</v>
      </c>
      <c r="N22" s="84">
        <f t="shared" si="10"/>
        <v>2.7604838709677422</v>
      </c>
    </row>
    <row r="23" spans="2:15">
      <c r="B23" s="75" t="s">
        <v>86</v>
      </c>
      <c r="C23" s="115">
        <f t="shared" ref="C23:N23" si="11">C22*C21*C3</f>
        <v>612.36</v>
      </c>
      <c r="D23" s="83">
        <f t="shared" si="11"/>
        <v>652.67999999999984</v>
      </c>
      <c r="E23" s="83">
        <f t="shared" si="11"/>
        <v>950.04000000000008</v>
      </c>
      <c r="F23" s="83">
        <f t="shared" si="11"/>
        <v>1556.1</v>
      </c>
      <c r="G23" s="83">
        <f t="shared" si="11"/>
        <v>3659.0399999999995</v>
      </c>
      <c r="H23" s="83">
        <f t="shared" si="11"/>
        <v>5644.8</v>
      </c>
      <c r="I23" s="83">
        <f t="shared" si="11"/>
        <v>7656.8625000000002</v>
      </c>
      <c r="J23" s="83">
        <f t="shared" si="11"/>
        <v>7706.4749999999995</v>
      </c>
      <c r="K23" s="83">
        <f t="shared" si="11"/>
        <v>5338.3050000000021</v>
      </c>
      <c r="L23" s="83">
        <f t="shared" si="11"/>
        <v>3846.1499999999987</v>
      </c>
      <c r="M23" s="83">
        <f t="shared" si="11"/>
        <v>2302.6499999999996</v>
      </c>
      <c r="N23" s="83">
        <f t="shared" si="11"/>
        <v>1232.2800000000002</v>
      </c>
    </row>
    <row r="24" spans="2:15">
      <c r="B24" s="75" t="s">
        <v>87</v>
      </c>
      <c r="C24" s="85">
        <f>C23-C20</f>
        <v>0</v>
      </c>
      <c r="D24" s="85">
        <f t="shared" ref="D24:N24" si="12">D23-D20</f>
        <v>0</v>
      </c>
      <c r="E24" s="85">
        <f t="shared" si="12"/>
        <v>0</v>
      </c>
      <c r="F24" s="85">
        <f t="shared" si="12"/>
        <v>0</v>
      </c>
      <c r="G24" s="85">
        <f t="shared" si="12"/>
        <v>0</v>
      </c>
      <c r="H24" s="85">
        <f t="shared" si="12"/>
        <v>0</v>
      </c>
      <c r="I24" s="85">
        <f t="shared" si="12"/>
        <v>0</v>
      </c>
      <c r="J24" s="85">
        <f t="shared" si="12"/>
        <v>0</v>
      </c>
      <c r="K24" s="85">
        <f t="shared" si="12"/>
        <v>0</v>
      </c>
      <c r="L24" s="85">
        <f t="shared" si="12"/>
        <v>0</v>
      </c>
      <c r="M24" s="85">
        <f t="shared" si="12"/>
        <v>0</v>
      </c>
      <c r="N24" s="85">
        <f t="shared" si="12"/>
        <v>0</v>
      </c>
    </row>
    <row r="28" spans="2:15">
      <c r="B28" t="s">
        <v>88</v>
      </c>
    </row>
    <row r="30" spans="2:15">
      <c r="C30" s="116" t="s">
        <v>13</v>
      </c>
      <c r="D30" s="4" t="s">
        <v>14</v>
      </c>
      <c r="E30" s="4" t="s">
        <v>15</v>
      </c>
      <c r="F30" s="5" t="s">
        <v>16</v>
      </c>
      <c r="G30" s="5" t="s">
        <v>17</v>
      </c>
      <c r="H30" s="5" t="s">
        <v>18</v>
      </c>
      <c r="I30" s="5" t="s">
        <v>19</v>
      </c>
      <c r="J30" s="5" t="s">
        <v>20</v>
      </c>
      <c r="K30" s="5" t="s">
        <v>21</v>
      </c>
      <c r="L30" s="5" t="s">
        <v>22</v>
      </c>
      <c r="M30" s="5" t="s">
        <v>23</v>
      </c>
      <c r="N30" s="5" t="s">
        <v>24</v>
      </c>
    </row>
    <row r="31" spans="2:15">
      <c r="B31" s="7" t="s">
        <v>25</v>
      </c>
      <c r="C31" s="116">
        <v>31</v>
      </c>
      <c r="D31" s="8">
        <v>28</v>
      </c>
      <c r="E31" s="8">
        <v>31</v>
      </c>
      <c r="F31" s="9">
        <v>30</v>
      </c>
      <c r="G31" s="9">
        <v>31</v>
      </c>
      <c r="H31" s="9">
        <v>30</v>
      </c>
      <c r="I31" s="9">
        <v>31</v>
      </c>
      <c r="J31" s="9">
        <v>31</v>
      </c>
      <c r="K31" s="9">
        <v>30</v>
      </c>
      <c r="L31" s="9">
        <v>31</v>
      </c>
      <c r="M31" s="9">
        <v>30</v>
      </c>
      <c r="N31" s="9">
        <v>31</v>
      </c>
    </row>
    <row r="32" spans="2:15">
      <c r="B32" s="10" t="s">
        <v>26</v>
      </c>
      <c r="C32" s="11">
        <v>1.5064516129032259</v>
      </c>
      <c r="D32" s="11">
        <v>1.8499999999999999</v>
      </c>
      <c r="E32" s="11">
        <v>2.4322580645161294</v>
      </c>
      <c r="F32" s="12">
        <v>3.2933333333333334</v>
      </c>
      <c r="G32" s="12">
        <v>4.6838709677419352</v>
      </c>
      <c r="H32" s="12">
        <v>5.9733333333333327</v>
      </c>
      <c r="I32" s="12">
        <v>7.467741935483871</v>
      </c>
      <c r="J32" s="12">
        <v>7.5161290322580649</v>
      </c>
      <c r="K32" s="12">
        <v>5.38</v>
      </c>
      <c r="L32" s="12">
        <v>3.9387096774193546</v>
      </c>
      <c r="M32" s="12">
        <v>2.4366666666666665</v>
      </c>
      <c r="N32" s="12">
        <v>1.5774193548387097</v>
      </c>
    </row>
    <row r="33" spans="1:15">
      <c r="B33" s="10" t="s">
        <v>27</v>
      </c>
      <c r="C33" s="13">
        <f>C32*10</f>
        <v>15.06451612903226</v>
      </c>
      <c r="D33" s="13">
        <f t="shared" ref="D33:N33" si="13">D32*10</f>
        <v>18.5</v>
      </c>
      <c r="E33" s="13">
        <f t="shared" si="13"/>
        <v>24.322580645161295</v>
      </c>
      <c r="F33" s="13">
        <f t="shared" si="13"/>
        <v>32.933333333333337</v>
      </c>
      <c r="G33" s="13">
        <f t="shared" si="13"/>
        <v>46.838709677419352</v>
      </c>
      <c r="H33" s="13">
        <f t="shared" si="13"/>
        <v>59.733333333333327</v>
      </c>
      <c r="I33" s="13">
        <f t="shared" si="13"/>
        <v>74.677419354838705</v>
      </c>
      <c r="J33" s="13">
        <f t="shared" si="13"/>
        <v>75.161290322580655</v>
      </c>
      <c r="K33" s="13">
        <f t="shared" si="13"/>
        <v>53.8</v>
      </c>
      <c r="L33" s="13">
        <f t="shared" si="13"/>
        <v>39.387096774193544</v>
      </c>
      <c r="M33" s="13">
        <f t="shared" si="13"/>
        <v>24.366666666666667</v>
      </c>
      <c r="N33" s="13">
        <f t="shared" si="13"/>
        <v>15.774193548387096</v>
      </c>
    </row>
    <row r="34" spans="1:15">
      <c r="B34" s="10" t="s">
        <v>28</v>
      </c>
      <c r="C34" s="14">
        <f>C32*C31</f>
        <v>46.7</v>
      </c>
      <c r="D34" s="14">
        <f t="shared" ref="D34:N34" si="14">D32*D31</f>
        <v>51.8</v>
      </c>
      <c r="E34" s="14">
        <f t="shared" si="14"/>
        <v>75.400000000000006</v>
      </c>
      <c r="F34" s="14">
        <f t="shared" si="14"/>
        <v>98.8</v>
      </c>
      <c r="G34" s="14">
        <f t="shared" si="14"/>
        <v>145.19999999999999</v>
      </c>
      <c r="H34" s="14">
        <f t="shared" si="14"/>
        <v>179.2</v>
      </c>
      <c r="I34" s="14">
        <f t="shared" si="14"/>
        <v>231.5</v>
      </c>
      <c r="J34" s="14">
        <f>J32*J31</f>
        <v>233</v>
      </c>
      <c r="K34" s="14">
        <f t="shared" si="14"/>
        <v>161.4</v>
      </c>
      <c r="L34" s="14">
        <f t="shared" si="14"/>
        <v>122.1</v>
      </c>
      <c r="M34" s="14">
        <f t="shared" si="14"/>
        <v>73.099999999999994</v>
      </c>
      <c r="N34" s="14">
        <f t="shared" si="14"/>
        <v>48.9</v>
      </c>
    </row>
    <row r="35" spans="1:15">
      <c r="B35" s="10" t="s">
        <v>29</v>
      </c>
      <c r="C35" s="15">
        <f>C34*10</f>
        <v>467</v>
      </c>
      <c r="D35" s="15">
        <f t="shared" ref="D35:N35" si="15">D34*10</f>
        <v>518</v>
      </c>
      <c r="E35" s="15">
        <f t="shared" si="15"/>
        <v>754</v>
      </c>
      <c r="F35" s="15">
        <f t="shared" si="15"/>
        <v>988</v>
      </c>
      <c r="G35" s="15">
        <f t="shared" si="15"/>
        <v>1452</v>
      </c>
      <c r="H35" s="15">
        <f t="shared" si="15"/>
        <v>1792</v>
      </c>
      <c r="I35" s="15">
        <f t="shared" si="15"/>
        <v>2315</v>
      </c>
      <c r="J35" s="15">
        <f t="shared" si="15"/>
        <v>2330</v>
      </c>
      <c r="K35" s="15">
        <f t="shared" si="15"/>
        <v>1614</v>
      </c>
      <c r="L35" s="15">
        <f t="shared" si="15"/>
        <v>1221</v>
      </c>
      <c r="M35" s="15">
        <f t="shared" si="15"/>
        <v>731</v>
      </c>
      <c r="N35" s="15">
        <f t="shared" si="15"/>
        <v>489</v>
      </c>
    </row>
    <row r="36" spans="1:15">
      <c r="A36" s="86"/>
      <c r="B36" s="16"/>
      <c r="C36" s="1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8"/>
    </row>
    <row r="37" spans="1:15">
      <c r="A37" s="129"/>
      <c r="B37" s="19" t="s">
        <v>12</v>
      </c>
      <c r="C37" s="20">
        <v>0.1</v>
      </c>
      <c r="D37" s="20">
        <v>0.1</v>
      </c>
      <c r="E37" s="20">
        <v>0.15</v>
      </c>
      <c r="F37" s="20">
        <v>0.2</v>
      </c>
      <c r="G37" s="20">
        <v>0.2</v>
      </c>
      <c r="H37" s="20">
        <v>0.25</v>
      </c>
      <c r="I37" s="20">
        <v>0.3</v>
      </c>
      <c r="J37" s="20">
        <v>0.3</v>
      </c>
      <c r="K37" s="20">
        <v>0.25</v>
      </c>
      <c r="L37" s="20">
        <v>0.2</v>
      </c>
      <c r="M37" s="20">
        <v>0.15</v>
      </c>
      <c r="N37" s="20">
        <v>0.1</v>
      </c>
    </row>
    <row r="38" spans="1:15">
      <c r="A38" s="129"/>
      <c r="B38" s="19" t="s">
        <v>30</v>
      </c>
      <c r="C38" s="20">
        <v>0.36</v>
      </c>
      <c r="D38" s="20">
        <v>0.36</v>
      </c>
      <c r="E38" s="20">
        <v>0.36</v>
      </c>
      <c r="F38" s="20">
        <v>0.36</v>
      </c>
      <c r="G38" s="20">
        <v>0.36</v>
      </c>
      <c r="H38" s="20">
        <v>0.36</v>
      </c>
      <c r="I38" s="20">
        <v>0.36</v>
      </c>
      <c r="J38" s="20">
        <v>0.36</v>
      </c>
      <c r="K38" s="20">
        <v>0.36</v>
      </c>
      <c r="L38" s="20">
        <v>0.36</v>
      </c>
      <c r="M38" s="20">
        <v>0.36</v>
      </c>
      <c r="N38" s="20">
        <v>0.36</v>
      </c>
    </row>
    <row r="39" spans="1:15">
      <c r="A39" s="129"/>
      <c r="B39" s="19" t="s">
        <v>31</v>
      </c>
      <c r="C39" s="20">
        <v>16</v>
      </c>
      <c r="D39" s="20">
        <f>C39</f>
        <v>16</v>
      </c>
      <c r="E39" s="20">
        <f t="shared" ref="E39:N39" si="16">D39</f>
        <v>16</v>
      </c>
      <c r="F39" s="20">
        <f t="shared" si="16"/>
        <v>16</v>
      </c>
      <c r="G39" s="20">
        <f t="shared" si="16"/>
        <v>16</v>
      </c>
      <c r="H39" s="20">
        <f t="shared" si="16"/>
        <v>16</v>
      </c>
      <c r="I39" s="20">
        <f t="shared" si="16"/>
        <v>16</v>
      </c>
      <c r="J39" s="20">
        <f t="shared" si="16"/>
        <v>16</v>
      </c>
      <c r="K39" s="20">
        <f t="shared" si="16"/>
        <v>16</v>
      </c>
      <c r="L39" s="20">
        <f t="shared" si="16"/>
        <v>16</v>
      </c>
      <c r="M39" s="20">
        <f t="shared" si="16"/>
        <v>16</v>
      </c>
      <c r="N39" s="20">
        <f t="shared" si="16"/>
        <v>16</v>
      </c>
    </row>
    <row r="40" spans="1:15">
      <c r="A40" s="129"/>
      <c r="B40" s="10" t="s">
        <v>32</v>
      </c>
      <c r="C40" s="21">
        <v>0.9</v>
      </c>
      <c r="D40" s="21">
        <v>0.9</v>
      </c>
      <c r="E40" s="21">
        <v>0.9</v>
      </c>
      <c r="F40" s="21">
        <v>0.9</v>
      </c>
      <c r="G40" s="21">
        <v>0.9</v>
      </c>
      <c r="H40" s="21">
        <v>0.9</v>
      </c>
      <c r="I40" s="21">
        <v>0.9</v>
      </c>
      <c r="J40" s="21">
        <v>0.9</v>
      </c>
      <c r="K40" s="21">
        <v>0.9</v>
      </c>
      <c r="L40" s="21">
        <v>0.9</v>
      </c>
      <c r="M40" s="21">
        <v>0.9</v>
      </c>
      <c r="N40" s="21">
        <v>0.9</v>
      </c>
    </row>
    <row r="41" spans="1:15">
      <c r="A41" s="129"/>
      <c r="B41" s="22" t="s">
        <v>89</v>
      </c>
      <c r="C41" s="118">
        <f>(C35*C37*C38*C39)/C40</f>
        <v>298.88</v>
      </c>
      <c r="D41" s="23">
        <f t="shared" ref="D41:N41" si="17">(D35*D37*D38*D39)/D40</f>
        <v>331.52</v>
      </c>
      <c r="E41" s="23">
        <f t="shared" si="17"/>
        <v>723.83999999999992</v>
      </c>
      <c r="F41" s="23">
        <f t="shared" si="17"/>
        <v>1264.6400000000001</v>
      </c>
      <c r="G41" s="23">
        <f t="shared" si="17"/>
        <v>1858.5600000000002</v>
      </c>
      <c r="H41" s="23">
        <f t="shared" si="17"/>
        <v>2867.2</v>
      </c>
      <c r="I41" s="23">
        <f>(I35*I37*I38*I39)/I40</f>
        <v>4444.7999999999993</v>
      </c>
      <c r="J41" s="23">
        <f t="shared" si="17"/>
        <v>4473.5999999999995</v>
      </c>
      <c r="K41" s="23">
        <f t="shared" si="17"/>
        <v>2582.3999999999996</v>
      </c>
      <c r="L41" s="23">
        <f t="shared" si="17"/>
        <v>1562.88</v>
      </c>
      <c r="M41" s="23">
        <f t="shared" si="17"/>
        <v>701.75999999999988</v>
      </c>
      <c r="N41" s="23">
        <f t="shared" si="17"/>
        <v>312.96000000000004</v>
      </c>
      <c r="O41" s="24">
        <f>SUM(C41:N41)</f>
        <v>21423.039999999994</v>
      </c>
    </row>
    <row r="43" spans="1:15">
      <c r="A43" s="129"/>
      <c r="B43" s="19" t="s">
        <v>12</v>
      </c>
      <c r="C43" s="20">
        <v>0.1</v>
      </c>
      <c r="D43" s="20">
        <v>0.1</v>
      </c>
      <c r="E43" s="20">
        <v>0.15</v>
      </c>
      <c r="F43" s="20">
        <v>0.2</v>
      </c>
      <c r="G43" s="20">
        <v>0.2</v>
      </c>
      <c r="H43" s="20">
        <v>0.25</v>
      </c>
      <c r="I43" s="20">
        <v>0.3</v>
      </c>
      <c r="J43" s="20">
        <v>0.3</v>
      </c>
      <c r="K43" s="20">
        <v>0.25</v>
      </c>
      <c r="L43" s="20">
        <v>0.2</v>
      </c>
      <c r="M43" s="20">
        <v>0.15</v>
      </c>
      <c r="N43" s="20">
        <v>0.1</v>
      </c>
    </row>
    <row r="44" spans="1:15">
      <c r="A44" s="129"/>
      <c r="B44" s="19" t="s">
        <v>30</v>
      </c>
      <c r="C44" s="20">
        <v>0.5</v>
      </c>
      <c r="D44" s="20">
        <v>0.5</v>
      </c>
      <c r="E44" s="20">
        <v>0.5</v>
      </c>
      <c r="F44" s="20">
        <v>0.5</v>
      </c>
      <c r="G44" s="20">
        <v>0.5</v>
      </c>
      <c r="H44" s="20">
        <v>0.5</v>
      </c>
      <c r="I44" s="20">
        <v>0.5</v>
      </c>
      <c r="J44" s="20">
        <v>0.5</v>
      </c>
      <c r="K44" s="20">
        <v>0.5</v>
      </c>
      <c r="L44" s="20">
        <v>0.5</v>
      </c>
      <c r="M44" s="20">
        <v>0.5</v>
      </c>
      <c r="N44" s="20">
        <v>0.5</v>
      </c>
    </row>
    <row r="45" spans="1:15">
      <c r="A45" s="129"/>
      <c r="B45" s="87" t="s">
        <v>31</v>
      </c>
      <c r="C45" s="88">
        <v>1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  <c r="I45" s="88">
        <v>1</v>
      </c>
      <c r="J45" s="88">
        <v>1</v>
      </c>
      <c r="K45" s="88">
        <v>1</v>
      </c>
      <c r="L45" s="88">
        <v>1</v>
      </c>
      <c r="M45" s="88">
        <v>1</v>
      </c>
      <c r="N45" s="88">
        <v>1</v>
      </c>
    </row>
    <row r="46" spans="1:15">
      <c r="A46" s="129"/>
      <c r="B46" s="89" t="s">
        <v>32</v>
      </c>
      <c r="C46" s="21">
        <v>0.9</v>
      </c>
      <c r="D46" s="21">
        <v>0.9</v>
      </c>
      <c r="E46" s="21">
        <v>0.9</v>
      </c>
      <c r="F46" s="21">
        <v>0.9</v>
      </c>
      <c r="G46" s="21">
        <v>0.9</v>
      </c>
      <c r="H46" s="21">
        <v>0.9</v>
      </c>
      <c r="I46" s="21">
        <v>0.9</v>
      </c>
      <c r="J46" s="21">
        <v>0.9</v>
      </c>
      <c r="K46" s="21">
        <v>0.9</v>
      </c>
      <c r="L46" s="21">
        <v>0.9</v>
      </c>
      <c r="M46" s="21">
        <v>0.9</v>
      </c>
      <c r="N46" s="21">
        <v>0.9</v>
      </c>
    </row>
    <row r="47" spans="1:15">
      <c r="A47" s="129"/>
      <c r="B47" s="22" t="s">
        <v>89</v>
      </c>
      <c r="C47" s="118">
        <f>(C45*C44*C43*C35)/C46</f>
        <v>25.944444444444446</v>
      </c>
      <c r="D47" s="23">
        <f t="shared" ref="D47:N47" si="18">(D45*D44*D43*D35)/D46</f>
        <v>28.777777777777779</v>
      </c>
      <c r="E47" s="23">
        <f t="shared" si="18"/>
        <v>62.833333333333329</v>
      </c>
      <c r="F47" s="23">
        <f t="shared" si="18"/>
        <v>109.77777777777779</v>
      </c>
      <c r="G47" s="23">
        <f t="shared" si="18"/>
        <v>161.33333333333334</v>
      </c>
      <c r="H47" s="23">
        <f t="shared" si="18"/>
        <v>248.88888888888889</v>
      </c>
      <c r="I47" s="23">
        <f t="shared" si="18"/>
        <v>385.83333333333331</v>
      </c>
      <c r="J47" s="23">
        <f t="shared" si="18"/>
        <v>388.33333333333331</v>
      </c>
      <c r="K47" s="23">
        <f t="shared" si="18"/>
        <v>224.16666666666666</v>
      </c>
      <c r="L47" s="23">
        <f t="shared" si="18"/>
        <v>135.66666666666669</v>
      </c>
      <c r="M47" s="23">
        <f t="shared" si="18"/>
        <v>60.916666666666657</v>
      </c>
      <c r="N47" s="23">
        <f t="shared" si="18"/>
        <v>27.166666666666668</v>
      </c>
      <c r="O47" s="24">
        <f>SUM(C47:N47)</f>
        <v>1859.6388888888891</v>
      </c>
    </row>
    <row r="48" spans="1:15">
      <c r="O48" s="90"/>
    </row>
    <row r="49" spans="1:15">
      <c r="A49" s="129"/>
      <c r="B49" s="19" t="s">
        <v>12</v>
      </c>
      <c r="C49" s="20">
        <v>0.1</v>
      </c>
      <c r="D49" s="20">
        <v>0.1</v>
      </c>
      <c r="E49" s="20">
        <v>0.15</v>
      </c>
      <c r="F49" s="20">
        <v>0.2</v>
      </c>
      <c r="G49" s="20">
        <v>0.2</v>
      </c>
      <c r="H49" s="20">
        <v>0.25</v>
      </c>
      <c r="I49" s="20">
        <v>0.3</v>
      </c>
      <c r="J49" s="20">
        <v>0.3</v>
      </c>
      <c r="K49" s="20">
        <v>0.25</v>
      </c>
      <c r="L49" s="20">
        <v>0.2</v>
      </c>
      <c r="M49" s="20">
        <v>0.15</v>
      </c>
      <c r="N49" s="20">
        <v>0.1</v>
      </c>
    </row>
    <row r="50" spans="1:15">
      <c r="A50" s="129"/>
      <c r="B50" s="19" t="s">
        <v>30</v>
      </c>
      <c r="C50" s="20">
        <v>0.6</v>
      </c>
      <c r="D50" s="20">
        <v>0.6</v>
      </c>
      <c r="E50" s="20">
        <v>0.6</v>
      </c>
      <c r="F50" s="20">
        <v>0.6</v>
      </c>
      <c r="G50" s="20">
        <v>0.6</v>
      </c>
      <c r="H50" s="20">
        <v>0.6</v>
      </c>
      <c r="I50" s="20">
        <v>0.6</v>
      </c>
      <c r="J50" s="20">
        <v>0.6</v>
      </c>
      <c r="K50" s="20">
        <v>0.6</v>
      </c>
      <c r="L50" s="20">
        <v>0.6</v>
      </c>
      <c r="M50" s="20">
        <v>0.6</v>
      </c>
      <c r="N50" s="20">
        <v>0.6</v>
      </c>
    </row>
    <row r="51" spans="1:15">
      <c r="A51" s="129"/>
      <c r="B51" s="87" t="s">
        <v>31</v>
      </c>
      <c r="C51" s="88">
        <v>1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  <c r="I51" s="88">
        <v>1</v>
      </c>
      <c r="J51" s="88">
        <v>1</v>
      </c>
      <c r="K51" s="88">
        <v>1</v>
      </c>
      <c r="L51" s="88">
        <v>1</v>
      </c>
      <c r="M51" s="88">
        <v>1</v>
      </c>
      <c r="N51" s="88">
        <v>1</v>
      </c>
    </row>
    <row r="52" spans="1:15">
      <c r="A52" s="129"/>
      <c r="B52" s="89" t="s">
        <v>32</v>
      </c>
      <c r="C52" s="21">
        <v>0.9</v>
      </c>
      <c r="D52" s="21">
        <v>0.9</v>
      </c>
      <c r="E52" s="21">
        <v>0.9</v>
      </c>
      <c r="F52" s="21">
        <v>0.9</v>
      </c>
      <c r="G52" s="21">
        <v>0.9</v>
      </c>
      <c r="H52" s="21">
        <v>0.9</v>
      </c>
      <c r="I52" s="21">
        <v>0.9</v>
      </c>
      <c r="J52" s="21">
        <v>0.9</v>
      </c>
      <c r="K52" s="21">
        <v>0.9</v>
      </c>
      <c r="L52" s="21">
        <v>0.9</v>
      </c>
      <c r="M52" s="21">
        <v>0.9</v>
      </c>
      <c r="N52" s="21">
        <v>0.9</v>
      </c>
    </row>
    <row r="53" spans="1:15">
      <c r="A53" s="129"/>
      <c r="B53" s="22" t="s">
        <v>89</v>
      </c>
      <c r="C53" s="118">
        <f t="shared" ref="C53:N53" si="19">(C51*C50*C49*C35)/C52</f>
        <v>31.133333333333333</v>
      </c>
      <c r="D53" s="23">
        <f t="shared" si="19"/>
        <v>34.533333333333331</v>
      </c>
      <c r="E53" s="23">
        <f t="shared" si="19"/>
        <v>75.399999999999991</v>
      </c>
      <c r="F53" s="23">
        <f t="shared" si="19"/>
        <v>131.73333333333332</v>
      </c>
      <c r="G53" s="23">
        <f t="shared" si="19"/>
        <v>193.59999999999997</v>
      </c>
      <c r="H53" s="23">
        <f t="shared" si="19"/>
        <v>298.66666666666669</v>
      </c>
      <c r="I53" s="23">
        <f t="shared" si="19"/>
        <v>463</v>
      </c>
      <c r="J53" s="23">
        <f t="shared" si="19"/>
        <v>465.99999999999994</v>
      </c>
      <c r="K53" s="23">
        <f t="shared" si="19"/>
        <v>269</v>
      </c>
      <c r="L53" s="23">
        <f t="shared" si="19"/>
        <v>162.79999999999998</v>
      </c>
      <c r="M53" s="23">
        <f t="shared" si="19"/>
        <v>73.099999999999994</v>
      </c>
      <c r="N53" s="23">
        <f t="shared" si="19"/>
        <v>32.6</v>
      </c>
      <c r="O53" s="24">
        <f>SUM(C53:N53)</f>
        <v>2231.5666666666666</v>
      </c>
    </row>
    <row r="54" spans="1:15">
      <c r="B54" s="22" t="s">
        <v>90</v>
      </c>
      <c r="C54" s="118">
        <f>C53+C47+C41</f>
        <v>355.95777777777778</v>
      </c>
      <c r="D54" s="91">
        <f t="shared" ref="D54:N54" si="20">D53+D47+D41</f>
        <v>394.83111111111111</v>
      </c>
      <c r="E54" s="91">
        <f t="shared" si="20"/>
        <v>862.07333333333327</v>
      </c>
      <c r="F54" s="91">
        <f t="shared" si="20"/>
        <v>1506.1511111111113</v>
      </c>
      <c r="G54" s="91">
        <f t="shared" si="20"/>
        <v>2213.4933333333333</v>
      </c>
      <c r="H54" s="91">
        <f t="shared" si="20"/>
        <v>3414.7555555555555</v>
      </c>
      <c r="I54" s="91">
        <f t="shared" si="20"/>
        <v>5293.6333333333323</v>
      </c>
      <c r="J54" s="92">
        <f>J53+J47+J41</f>
        <v>5327.9333333333325</v>
      </c>
      <c r="K54" s="91">
        <f t="shared" si="20"/>
        <v>3075.5666666666662</v>
      </c>
      <c r="L54" s="91">
        <f t="shared" si="20"/>
        <v>1861.3466666666668</v>
      </c>
      <c r="M54" s="91">
        <f t="shared" si="20"/>
        <v>835.77666666666653</v>
      </c>
      <c r="N54" s="91">
        <f t="shared" si="20"/>
        <v>372.72666666666669</v>
      </c>
      <c r="O54" s="24">
        <f>SUM(C54:N54)</f>
        <v>25514.24555555555</v>
      </c>
    </row>
    <row r="56" spans="1:15">
      <c r="B56" s="10" t="s">
        <v>91</v>
      </c>
      <c r="C56" s="119">
        <v>0</v>
      </c>
      <c r="D56" s="93">
        <v>0</v>
      </c>
      <c r="E56" s="93">
        <v>0</v>
      </c>
      <c r="F56" s="93">
        <v>0</v>
      </c>
      <c r="G56" s="93">
        <v>0</v>
      </c>
      <c r="H56" s="93">
        <v>0</v>
      </c>
      <c r="I56" s="93">
        <v>0</v>
      </c>
      <c r="J56" s="93">
        <v>0</v>
      </c>
      <c r="K56" s="93">
        <v>0</v>
      </c>
      <c r="L56" s="93">
        <v>0</v>
      </c>
      <c r="M56" s="93">
        <v>0</v>
      </c>
      <c r="N56" s="93">
        <v>0</v>
      </c>
    </row>
    <row r="57" spans="1:15">
      <c r="B57" s="94" t="s">
        <v>92</v>
      </c>
      <c r="C57" s="120">
        <f>C56*10*(C39+C45+C51)</f>
        <v>0</v>
      </c>
      <c r="D57" s="95">
        <f t="shared" ref="D57:N57" si="21">D56*10*(D39+D45+D51)</f>
        <v>0</v>
      </c>
      <c r="E57" s="95">
        <f t="shared" si="21"/>
        <v>0</v>
      </c>
      <c r="F57" s="95">
        <f t="shared" si="21"/>
        <v>0</v>
      </c>
      <c r="G57" s="95">
        <f t="shared" si="21"/>
        <v>0</v>
      </c>
      <c r="H57" s="95">
        <f t="shared" si="21"/>
        <v>0</v>
      </c>
      <c r="I57" s="95">
        <f t="shared" si="21"/>
        <v>0</v>
      </c>
      <c r="J57" s="95">
        <f>J56*10*(J39+J45+J51)</f>
        <v>0</v>
      </c>
      <c r="K57" s="95">
        <f t="shared" si="21"/>
        <v>0</v>
      </c>
      <c r="L57" s="95">
        <f t="shared" si="21"/>
        <v>0</v>
      </c>
      <c r="M57" s="95">
        <f t="shared" si="21"/>
        <v>0</v>
      </c>
      <c r="N57" s="95">
        <f t="shared" si="21"/>
        <v>0</v>
      </c>
      <c r="O57" s="96">
        <f>SUM(C57:N57)</f>
        <v>0</v>
      </c>
    </row>
    <row r="58" spans="1:15">
      <c r="A58" s="130" t="s">
        <v>93</v>
      </c>
      <c r="B58" s="130"/>
      <c r="C58" s="121">
        <f>4*3.6</f>
        <v>14.4</v>
      </c>
      <c r="D58" s="97">
        <f t="shared" ref="D58:N58" si="22">4*3.6</f>
        <v>14.4</v>
      </c>
      <c r="E58" s="97">
        <f t="shared" si="22"/>
        <v>14.4</v>
      </c>
      <c r="F58" s="97">
        <f t="shared" si="22"/>
        <v>14.4</v>
      </c>
      <c r="G58" s="97">
        <f t="shared" si="22"/>
        <v>14.4</v>
      </c>
      <c r="H58" s="97">
        <f t="shared" si="22"/>
        <v>14.4</v>
      </c>
      <c r="I58" s="97">
        <f t="shared" si="22"/>
        <v>14.4</v>
      </c>
      <c r="J58" s="97">
        <f t="shared" si="22"/>
        <v>14.4</v>
      </c>
      <c r="K58" s="97">
        <f t="shared" si="22"/>
        <v>14.4</v>
      </c>
      <c r="L58" s="97">
        <f t="shared" si="22"/>
        <v>14.4</v>
      </c>
      <c r="M58" s="97">
        <f t="shared" si="22"/>
        <v>14.4</v>
      </c>
      <c r="N58" s="97">
        <f t="shared" si="22"/>
        <v>14.4</v>
      </c>
    </row>
    <row r="59" spans="1:15">
      <c r="A59" s="130" t="s">
        <v>94</v>
      </c>
      <c r="B59" s="130"/>
      <c r="C59" s="122">
        <f t="shared" ref="C59:N59" si="23">((C54-C57)/(C58))/26</f>
        <v>0.95074192782526112</v>
      </c>
      <c r="D59" s="98">
        <f t="shared" si="23"/>
        <v>1.0545702754036088</v>
      </c>
      <c r="E59" s="98">
        <f t="shared" si="23"/>
        <v>2.3025462962962959</v>
      </c>
      <c r="F59" s="98">
        <f t="shared" si="23"/>
        <v>4.0228395061728399</v>
      </c>
      <c r="G59" s="98">
        <f t="shared" si="23"/>
        <v>5.9121082621082621</v>
      </c>
      <c r="H59" s="98">
        <f t="shared" si="23"/>
        <v>9.1206077872744533</v>
      </c>
      <c r="I59" s="98">
        <f t="shared" si="23"/>
        <v>14.138977920227918</v>
      </c>
      <c r="J59" s="98">
        <f t="shared" si="23"/>
        <v>14.230591168091166</v>
      </c>
      <c r="K59" s="98">
        <f t="shared" si="23"/>
        <v>8.2146545584045576</v>
      </c>
      <c r="L59" s="98">
        <f t="shared" si="23"/>
        <v>4.9715455840455842</v>
      </c>
      <c r="M59" s="98">
        <f t="shared" si="23"/>
        <v>2.2323094729344723</v>
      </c>
      <c r="N59" s="98">
        <f t="shared" si="23"/>
        <v>0.99553062678062676</v>
      </c>
    </row>
    <row r="60" spans="1:15">
      <c r="A60" s="131" t="s">
        <v>95</v>
      </c>
      <c r="B60" s="131"/>
      <c r="C60" s="118">
        <f>C59*C58*26</f>
        <v>355.95777777777778</v>
      </c>
      <c r="D60" s="99">
        <f t="shared" ref="D60:N60" si="24">D59*D58*26</f>
        <v>394.83111111111111</v>
      </c>
      <c r="E60" s="99">
        <f t="shared" si="24"/>
        <v>862.07333333333315</v>
      </c>
      <c r="F60" s="99">
        <f t="shared" si="24"/>
        <v>1506.1511111111113</v>
      </c>
      <c r="G60" s="99">
        <f t="shared" si="24"/>
        <v>2213.4933333333333</v>
      </c>
      <c r="H60" s="99">
        <f t="shared" si="24"/>
        <v>3414.7555555555555</v>
      </c>
      <c r="I60" s="99">
        <f>I59*I58*26</f>
        <v>5293.6333333333323</v>
      </c>
      <c r="J60" s="99">
        <f>J59*J58*26</f>
        <v>5327.9333333333334</v>
      </c>
      <c r="K60" s="99">
        <f t="shared" si="24"/>
        <v>3075.5666666666662</v>
      </c>
      <c r="L60" s="99">
        <f t="shared" si="24"/>
        <v>1861.3466666666668</v>
      </c>
      <c r="M60" s="99">
        <f t="shared" si="24"/>
        <v>835.77666666666642</v>
      </c>
      <c r="N60" s="99">
        <f t="shared" si="24"/>
        <v>372.72666666666669</v>
      </c>
      <c r="O60" s="24">
        <f>SUM(C60:N60)</f>
        <v>25514.245555555553</v>
      </c>
    </row>
    <row r="63" spans="1:15">
      <c r="G63" s="132" t="s">
        <v>96</v>
      </c>
      <c r="H63" s="133"/>
      <c r="I63" s="133"/>
      <c r="J63" s="134"/>
      <c r="K63" s="100">
        <f>K54/31</f>
        <v>99.211827956989225</v>
      </c>
    </row>
    <row r="64" spans="1:15">
      <c r="I64" s="126" t="s">
        <v>97</v>
      </c>
      <c r="J64" s="126"/>
      <c r="K64" s="126"/>
      <c r="L64" s="101">
        <f>(J32*J37*J38)/J40</f>
        <v>0.90193548387096767</v>
      </c>
    </row>
    <row r="65" spans="2:12">
      <c r="I65" s="126" t="s">
        <v>98</v>
      </c>
      <c r="J65" s="126"/>
      <c r="K65" s="126"/>
      <c r="L65" s="102">
        <f>(J32*J43*J44)/J46</f>
        <v>1.2526881720430108</v>
      </c>
    </row>
    <row r="66" spans="2:12">
      <c r="I66" s="126" t="s">
        <v>99</v>
      </c>
      <c r="J66" s="126"/>
      <c r="K66" s="126"/>
      <c r="L66" s="102">
        <f>J32*J49*J50/J52</f>
        <v>1.5032258064516126</v>
      </c>
    </row>
    <row r="68" spans="2:12">
      <c r="K68" s="103" t="s">
        <v>100</v>
      </c>
      <c r="L68" s="104">
        <f>(C39+C45+C51)*6000</f>
        <v>108000</v>
      </c>
    </row>
    <row r="72" spans="2:12">
      <c r="B72" t="s">
        <v>101</v>
      </c>
    </row>
  </sheetData>
  <mergeCells count="12">
    <mergeCell ref="I66:K66"/>
    <mergeCell ref="B1:B2"/>
    <mergeCell ref="C1:N1"/>
    <mergeCell ref="A37:A41"/>
    <mergeCell ref="A43:A47"/>
    <mergeCell ref="A49:A53"/>
    <mergeCell ref="A58:B58"/>
    <mergeCell ref="A59:B59"/>
    <mergeCell ref="A60:B60"/>
    <mergeCell ref="G63:J63"/>
    <mergeCell ref="I64:K64"/>
    <mergeCell ref="I65:K6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4:O109"/>
  <sheetViews>
    <sheetView showGridLines="0" tabSelected="1" topLeftCell="A41" workbookViewId="0">
      <selection activeCell="C80" sqref="C80"/>
    </sheetView>
  </sheetViews>
  <sheetFormatPr baseColWidth="10" defaultRowHeight="15.75"/>
  <cols>
    <col min="2" max="2" width="34.5" customWidth="1"/>
    <col min="3" max="3" width="15.125" customWidth="1"/>
    <col min="4" max="4" width="14" customWidth="1"/>
    <col min="5" max="12" width="11.375" bestFit="1" customWidth="1"/>
    <col min="13" max="14" width="11.125" bestFit="1" customWidth="1"/>
  </cols>
  <sheetData>
    <row r="4" spans="2:15">
      <c r="B4" s="142" t="s">
        <v>0</v>
      </c>
      <c r="C4" s="142"/>
      <c r="D4" s="142"/>
      <c r="E4" s="142"/>
      <c r="F4" s="142"/>
      <c r="G4" s="142"/>
    </row>
    <row r="5" spans="2:15">
      <c r="B5" s="143" t="s">
        <v>1</v>
      </c>
      <c r="C5" s="143"/>
    </row>
    <row r="7" spans="2:15" ht="23.25">
      <c r="B7" s="1" t="s">
        <v>2</v>
      </c>
      <c r="C7" s="2" t="s">
        <v>3</v>
      </c>
      <c r="D7" s="2" t="s">
        <v>4</v>
      </c>
      <c r="E7" s="2" t="s">
        <v>5</v>
      </c>
      <c r="F7" s="2" t="s">
        <v>6</v>
      </c>
      <c r="G7" s="2" t="s">
        <v>7</v>
      </c>
      <c r="H7" s="2" t="s">
        <v>8</v>
      </c>
      <c r="I7" s="2" t="s">
        <v>9</v>
      </c>
      <c r="J7" s="2" t="s">
        <v>10</v>
      </c>
      <c r="K7" s="2" t="s">
        <v>11</v>
      </c>
    </row>
    <row r="8" spans="2:15">
      <c r="B8" s="3" t="s">
        <v>12</v>
      </c>
      <c r="C8" s="3">
        <v>0.1</v>
      </c>
      <c r="D8" s="3">
        <v>0.15</v>
      </c>
      <c r="E8" s="3">
        <v>0.2</v>
      </c>
      <c r="F8" s="3">
        <v>0.25</v>
      </c>
      <c r="G8" s="3">
        <v>0.3</v>
      </c>
      <c r="H8" s="3">
        <v>0.25</v>
      </c>
      <c r="I8" s="3">
        <v>0.2</v>
      </c>
      <c r="J8" s="3">
        <v>0.15</v>
      </c>
      <c r="K8" s="3">
        <v>0.1</v>
      </c>
    </row>
    <row r="12" spans="2:15">
      <c r="C12" s="4" t="s">
        <v>13</v>
      </c>
      <c r="D12" s="4" t="s">
        <v>14</v>
      </c>
      <c r="E12" s="4" t="s">
        <v>15</v>
      </c>
      <c r="F12" s="5" t="s">
        <v>16</v>
      </c>
      <c r="G12" s="5" t="s">
        <v>17</v>
      </c>
      <c r="H12" s="5" t="s">
        <v>18</v>
      </c>
      <c r="I12" s="5" t="s">
        <v>19</v>
      </c>
      <c r="J12" s="5" t="s">
        <v>20</v>
      </c>
      <c r="K12" s="5" t="s">
        <v>21</v>
      </c>
      <c r="L12" s="5" t="s">
        <v>22</v>
      </c>
      <c r="M12" s="5" t="s">
        <v>23</v>
      </c>
      <c r="N12" s="5" t="s">
        <v>24</v>
      </c>
      <c r="O12" s="6"/>
    </row>
    <row r="13" spans="2:15">
      <c r="B13" s="7" t="s">
        <v>25</v>
      </c>
      <c r="C13" s="8">
        <v>31</v>
      </c>
      <c r="D13" s="8">
        <v>28</v>
      </c>
      <c r="E13" s="8">
        <v>31</v>
      </c>
      <c r="F13" s="9">
        <v>30</v>
      </c>
      <c r="G13" s="9">
        <v>31</v>
      </c>
      <c r="H13" s="9">
        <v>30</v>
      </c>
      <c r="I13" s="9">
        <v>31</v>
      </c>
      <c r="J13" s="9">
        <v>31</v>
      </c>
      <c r="K13" s="9">
        <v>30</v>
      </c>
      <c r="L13" s="9">
        <v>31</v>
      </c>
      <c r="M13" s="9">
        <v>30</v>
      </c>
      <c r="N13" s="9">
        <v>31</v>
      </c>
      <c r="O13" s="6"/>
    </row>
    <row r="14" spans="2:15">
      <c r="B14" s="10" t="s">
        <v>26</v>
      </c>
      <c r="C14" s="11">
        <f>'BESOIN EN EAU'!C5</f>
        <v>2.0903225806451613</v>
      </c>
      <c r="D14" s="11">
        <f>'BESOIN EN EAU'!D5</f>
        <v>1.8499999999999999</v>
      </c>
      <c r="E14" s="11">
        <f>'BESOIN EN EAU'!E5</f>
        <v>2.4322580645161294</v>
      </c>
      <c r="F14" s="11">
        <f>'BESOIN EN EAU'!F5</f>
        <v>3.2933333333333334</v>
      </c>
      <c r="G14" s="11">
        <f>'BESOIN EN EAU'!G5</f>
        <v>4.6838709677419352</v>
      </c>
      <c r="H14" s="11">
        <f>'BESOIN EN EAU'!H5</f>
        <v>5.9733333333333327</v>
      </c>
      <c r="I14" s="11">
        <f>'BESOIN EN EAU'!I5</f>
        <v>7.467741935483871</v>
      </c>
      <c r="J14" s="11">
        <f>'BESOIN EN EAU'!J5</f>
        <v>7.5161290322580649</v>
      </c>
      <c r="K14" s="11">
        <f>'BESOIN EN EAU'!K5</f>
        <v>5.38</v>
      </c>
      <c r="L14" s="11">
        <f>'BESOIN EN EAU'!L5</f>
        <v>3.9387096774193546</v>
      </c>
      <c r="M14" s="11">
        <f>'BESOIN EN EAU'!M5</f>
        <v>2.4366666666666665</v>
      </c>
      <c r="N14" s="11">
        <f>'BESOIN EN EAU'!N5</f>
        <v>1.5774193548387097</v>
      </c>
      <c r="O14" s="6"/>
    </row>
    <row r="15" spans="2:15">
      <c r="B15" s="10" t="s">
        <v>27</v>
      </c>
      <c r="C15" s="13">
        <f>C14*10</f>
        <v>20.903225806451612</v>
      </c>
      <c r="D15" s="13">
        <f t="shared" ref="D15:N15" si="0">D14*10</f>
        <v>18.5</v>
      </c>
      <c r="E15" s="13">
        <f t="shared" si="0"/>
        <v>24.322580645161295</v>
      </c>
      <c r="F15" s="13">
        <f t="shared" si="0"/>
        <v>32.933333333333337</v>
      </c>
      <c r="G15" s="13">
        <f t="shared" si="0"/>
        <v>46.838709677419352</v>
      </c>
      <c r="H15" s="13">
        <f t="shared" si="0"/>
        <v>59.733333333333327</v>
      </c>
      <c r="I15" s="13">
        <f t="shared" si="0"/>
        <v>74.677419354838705</v>
      </c>
      <c r="J15" s="13">
        <f t="shared" si="0"/>
        <v>75.161290322580655</v>
      </c>
      <c r="K15" s="13">
        <f t="shared" si="0"/>
        <v>53.8</v>
      </c>
      <c r="L15" s="13">
        <f t="shared" si="0"/>
        <v>39.387096774193544</v>
      </c>
      <c r="M15" s="13">
        <f t="shared" si="0"/>
        <v>24.366666666666667</v>
      </c>
      <c r="N15" s="13">
        <f t="shared" si="0"/>
        <v>15.774193548387096</v>
      </c>
      <c r="O15" s="6"/>
    </row>
    <row r="16" spans="2:15">
      <c r="B16" s="10" t="s">
        <v>28</v>
      </c>
      <c r="C16" s="14">
        <f>C14*C13</f>
        <v>64.8</v>
      </c>
      <c r="D16" s="14">
        <f t="shared" ref="D16:N16" si="1">D14*D13</f>
        <v>51.8</v>
      </c>
      <c r="E16" s="14">
        <f t="shared" si="1"/>
        <v>75.400000000000006</v>
      </c>
      <c r="F16" s="14">
        <f t="shared" si="1"/>
        <v>98.8</v>
      </c>
      <c r="G16" s="14">
        <f t="shared" si="1"/>
        <v>145.19999999999999</v>
      </c>
      <c r="H16" s="14">
        <f t="shared" si="1"/>
        <v>179.2</v>
      </c>
      <c r="I16" s="14">
        <f t="shared" si="1"/>
        <v>231.5</v>
      </c>
      <c r="J16" s="14">
        <f t="shared" si="1"/>
        <v>233</v>
      </c>
      <c r="K16" s="14">
        <f t="shared" si="1"/>
        <v>161.4</v>
      </c>
      <c r="L16" s="14">
        <f t="shared" si="1"/>
        <v>122.1</v>
      </c>
      <c r="M16" s="14">
        <f t="shared" si="1"/>
        <v>73.099999999999994</v>
      </c>
      <c r="N16" s="14">
        <f t="shared" si="1"/>
        <v>48.9</v>
      </c>
      <c r="O16" s="6"/>
    </row>
    <row r="17" spans="1:15">
      <c r="B17" s="10" t="s">
        <v>29</v>
      </c>
      <c r="C17" s="15">
        <f>C16*10</f>
        <v>648</v>
      </c>
      <c r="D17" s="15">
        <f t="shared" ref="D17:N17" si="2">D16*10</f>
        <v>518</v>
      </c>
      <c r="E17" s="15">
        <f t="shared" si="2"/>
        <v>754</v>
      </c>
      <c r="F17" s="15">
        <f t="shared" si="2"/>
        <v>988</v>
      </c>
      <c r="G17" s="15">
        <f t="shared" si="2"/>
        <v>1452</v>
      </c>
      <c r="H17" s="15">
        <f t="shared" si="2"/>
        <v>1792</v>
      </c>
      <c r="I17" s="15">
        <f t="shared" si="2"/>
        <v>2315</v>
      </c>
      <c r="J17" s="15">
        <f t="shared" si="2"/>
        <v>2330</v>
      </c>
      <c r="K17" s="15">
        <f t="shared" si="2"/>
        <v>1614</v>
      </c>
      <c r="L17" s="15">
        <f t="shared" si="2"/>
        <v>1221</v>
      </c>
      <c r="M17" s="15">
        <f t="shared" si="2"/>
        <v>731</v>
      </c>
      <c r="N17" s="15">
        <f t="shared" si="2"/>
        <v>489</v>
      </c>
      <c r="O17" s="6"/>
    </row>
    <row r="18" spans="1:15">
      <c r="B18" s="16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8"/>
    </row>
    <row r="19" spans="1:15">
      <c r="B19" s="19" t="s">
        <v>12</v>
      </c>
      <c r="C19" s="20">
        <f>'BESOIN EN EAU'!C10</f>
        <v>0.3</v>
      </c>
      <c r="D19" s="20">
        <f>'BESOIN EN EAU'!D10</f>
        <v>0.4</v>
      </c>
      <c r="E19" s="20">
        <f>'BESOIN EN EAU'!E10</f>
        <v>0.4</v>
      </c>
      <c r="F19" s="20">
        <f>'BESOIN EN EAU'!F10</f>
        <v>0.5</v>
      </c>
      <c r="G19" s="20">
        <f>'BESOIN EN EAU'!G10</f>
        <v>0.8</v>
      </c>
      <c r="H19" s="20">
        <f>'BESOIN EN EAU'!H10</f>
        <v>1</v>
      </c>
      <c r="I19" s="20">
        <f>'BESOIN EN EAU'!I10</f>
        <v>1.05</v>
      </c>
      <c r="J19" s="20">
        <f>'BESOIN EN EAU'!J10</f>
        <v>1.05</v>
      </c>
      <c r="K19" s="20">
        <f>'BESOIN EN EAU'!K10</f>
        <v>1.05</v>
      </c>
      <c r="L19" s="20">
        <f>'BESOIN EN EAU'!L10</f>
        <v>1</v>
      </c>
      <c r="M19" s="20">
        <f>'BESOIN EN EAU'!M10</f>
        <v>1</v>
      </c>
      <c r="N19" s="20">
        <f>'BESOIN EN EAU'!N10</f>
        <v>0.8</v>
      </c>
      <c r="O19" s="6"/>
    </row>
    <row r="20" spans="1:15">
      <c r="B20" s="19" t="s">
        <v>30</v>
      </c>
      <c r="C20" s="20">
        <f>'BESOIN EN EAU'!C11</f>
        <v>0.7</v>
      </c>
      <c r="D20" s="20">
        <f>'BESOIN EN EAU'!D11</f>
        <v>0.7</v>
      </c>
      <c r="E20" s="20">
        <f>'BESOIN EN EAU'!E11</f>
        <v>0.7</v>
      </c>
      <c r="F20" s="20">
        <f>'BESOIN EN EAU'!F11</f>
        <v>0.7</v>
      </c>
      <c r="G20" s="20">
        <f>'BESOIN EN EAU'!G11</f>
        <v>0.7</v>
      </c>
      <c r="H20" s="20">
        <f>'BESOIN EN EAU'!H11</f>
        <v>0.7</v>
      </c>
      <c r="I20" s="20">
        <f>'BESOIN EN EAU'!I11</f>
        <v>0.7</v>
      </c>
      <c r="J20" s="20">
        <f>'BESOIN EN EAU'!J11</f>
        <v>0.7</v>
      </c>
      <c r="K20" s="20">
        <f>'BESOIN EN EAU'!K11</f>
        <v>0.7</v>
      </c>
      <c r="L20" s="20">
        <f>'BESOIN EN EAU'!L11</f>
        <v>0.7</v>
      </c>
      <c r="M20" s="20">
        <f>'BESOIN EN EAU'!M11</f>
        <v>0.7</v>
      </c>
      <c r="N20" s="20">
        <f>'BESOIN EN EAU'!N11</f>
        <v>0.7</v>
      </c>
      <c r="O20" s="6"/>
    </row>
    <row r="21" spans="1:15">
      <c r="B21" s="19" t="s">
        <v>31</v>
      </c>
      <c r="C21" s="20">
        <f>'BESOIN EN EAU'!C16</f>
        <v>5</v>
      </c>
      <c r="D21" s="20">
        <f>'BESOIN EN EAU'!D16</f>
        <v>5</v>
      </c>
      <c r="E21" s="20">
        <f>'BESOIN EN EAU'!E16</f>
        <v>5</v>
      </c>
      <c r="F21" s="20">
        <f>'BESOIN EN EAU'!F16</f>
        <v>5</v>
      </c>
      <c r="G21" s="20">
        <f>'BESOIN EN EAU'!G16</f>
        <v>5</v>
      </c>
      <c r="H21" s="20">
        <f>'BESOIN EN EAU'!H16</f>
        <v>5</v>
      </c>
      <c r="I21" s="20">
        <f>'BESOIN EN EAU'!I16</f>
        <v>5</v>
      </c>
      <c r="J21" s="20">
        <f>'BESOIN EN EAU'!J16</f>
        <v>5</v>
      </c>
      <c r="K21" s="20">
        <f>'BESOIN EN EAU'!K16</f>
        <v>5</v>
      </c>
      <c r="L21" s="20">
        <f>'BESOIN EN EAU'!L16</f>
        <v>5</v>
      </c>
      <c r="M21" s="20">
        <f>'BESOIN EN EAU'!M16</f>
        <v>5</v>
      </c>
      <c r="N21" s="20">
        <f>'BESOIN EN EAU'!N16</f>
        <v>5</v>
      </c>
      <c r="O21" s="6"/>
    </row>
    <row r="22" spans="1:15">
      <c r="B22" s="10" t="s">
        <v>32</v>
      </c>
      <c r="C22" s="21">
        <v>0.9</v>
      </c>
      <c r="D22" s="21">
        <v>0.9</v>
      </c>
      <c r="E22" s="21">
        <v>0.9</v>
      </c>
      <c r="F22" s="21">
        <v>0.9</v>
      </c>
      <c r="G22" s="21">
        <v>0.9</v>
      </c>
      <c r="H22" s="21">
        <v>0.9</v>
      </c>
      <c r="I22" s="21">
        <v>0.9</v>
      </c>
      <c r="J22" s="21">
        <v>0.9</v>
      </c>
      <c r="K22" s="21">
        <v>0.9</v>
      </c>
      <c r="L22" s="21">
        <v>0.9</v>
      </c>
      <c r="M22" s="21">
        <v>0.9</v>
      </c>
      <c r="N22" s="21">
        <v>0.9</v>
      </c>
      <c r="O22" s="6"/>
    </row>
    <row r="23" spans="1:15">
      <c r="B23" s="22" t="s">
        <v>33</v>
      </c>
      <c r="C23" s="23">
        <f>(C17*C19*C20*C21)/C22</f>
        <v>755.99999999999989</v>
      </c>
      <c r="D23" s="23">
        <f t="shared" ref="D23:N23" si="3">(D17*D19*D20*D21)/D22</f>
        <v>805.77777777777771</v>
      </c>
      <c r="E23" s="23">
        <f t="shared" si="3"/>
        <v>1172.8888888888887</v>
      </c>
      <c r="F23" s="23">
        <f t="shared" si="3"/>
        <v>1921.1111111111109</v>
      </c>
      <c r="G23" s="23">
        <f t="shared" si="3"/>
        <v>4517.333333333333</v>
      </c>
      <c r="H23" s="23">
        <f t="shared" si="3"/>
        <v>6968.8888888888878</v>
      </c>
      <c r="I23" s="23">
        <f t="shared" si="3"/>
        <v>9452.9166666666661</v>
      </c>
      <c r="J23" s="23">
        <f t="shared" si="3"/>
        <v>9514.1666666666661</v>
      </c>
      <c r="K23" s="23">
        <f t="shared" si="3"/>
        <v>6590.5</v>
      </c>
      <c r="L23" s="23">
        <f t="shared" si="3"/>
        <v>4748.333333333333</v>
      </c>
      <c r="M23" s="23">
        <f t="shared" si="3"/>
        <v>2842.7777777777778</v>
      </c>
      <c r="N23" s="23">
        <f t="shared" si="3"/>
        <v>1521.3333333333337</v>
      </c>
      <c r="O23" s="24">
        <f>SUM(C23:N23)</f>
        <v>50812.027777777781</v>
      </c>
    </row>
    <row r="24" spans="1:15">
      <c r="B24" s="22" t="s">
        <v>34</v>
      </c>
      <c r="C24" s="25">
        <f>C23/10</f>
        <v>75.599999999999994</v>
      </c>
      <c r="D24" s="25">
        <f t="shared" ref="D24:N24" si="4">D23/10</f>
        <v>80.577777777777769</v>
      </c>
      <c r="E24" s="25">
        <f t="shared" si="4"/>
        <v>117.28888888888886</v>
      </c>
      <c r="F24" s="25">
        <f t="shared" si="4"/>
        <v>192.11111111111109</v>
      </c>
      <c r="G24" s="25">
        <f t="shared" si="4"/>
        <v>451.73333333333329</v>
      </c>
      <c r="H24" s="25">
        <f t="shared" si="4"/>
        <v>696.8888888888888</v>
      </c>
      <c r="I24" s="25">
        <f t="shared" si="4"/>
        <v>945.29166666666663</v>
      </c>
      <c r="J24" s="25">
        <f t="shared" si="4"/>
        <v>951.41666666666663</v>
      </c>
      <c r="K24" s="25">
        <f t="shared" si="4"/>
        <v>659.05</v>
      </c>
      <c r="L24" s="25">
        <f t="shared" si="4"/>
        <v>474.83333333333331</v>
      </c>
      <c r="M24" s="25">
        <f t="shared" si="4"/>
        <v>284.27777777777777</v>
      </c>
      <c r="N24" s="25">
        <f t="shared" si="4"/>
        <v>152.13333333333338</v>
      </c>
    </row>
    <row r="25" spans="1:15">
      <c r="B25" s="22" t="s">
        <v>35</v>
      </c>
      <c r="C25" s="26">
        <f>C24/C13</f>
        <v>2.4387096774193546</v>
      </c>
      <c r="D25" s="26">
        <f>D24/D13</f>
        <v>2.8777777777777773</v>
      </c>
      <c r="E25" s="26">
        <f t="shared" ref="E25:N25" si="5">E24/E13</f>
        <v>3.7835125448028664</v>
      </c>
      <c r="F25" s="26">
        <f t="shared" si="5"/>
        <v>6.4037037037037026</v>
      </c>
      <c r="G25" s="26">
        <f t="shared" si="5"/>
        <v>14.572043010752687</v>
      </c>
      <c r="H25" s="26">
        <f t="shared" si="5"/>
        <v>23.229629629629628</v>
      </c>
      <c r="I25" s="26">
        <f t="shared" si="5"/>
        <v>30.493279569892472</v>
      </c>
      <c r="J25" s="26">
        <f t="shared" si="5"/>
        <v>30.690860215053764</v>
      </c>
      <c r="K25" s="26">
        <f t="shared" si="5"/>
        <v>21.96833333333333</v>
      </c>
      <c r="L25" s="26">
        <f t="shared" si="5"/>
        <v>15.317204301075268</v>
      </c>
      <c r="M25" s="26">
        <f t="shared" si="5"/>
        <v>9.4759259259259263</v>
      </c>
      <c r="N25" s="26">
        <f t="shared" si="5"/>
        <v>4.9075268817204316</v>
      </c>
    </row>
    <row r="26" spans="1:15"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</row>
    <row r="28" spans="1:15">
      <c r="A28" s="28"/>
    </row>
    <row r="29" spans="1:15">
      <c r="B29" s="136" t="s">
        <v>36</v>
      </c>
      <c r="C29" s="137"/>
    </row>
    <row r="30" spans="1:15">
      <c r="B30" s="29"/>
      <c r="C30" s="30"/>
    </row>
    <row r="31" spans="1:15">
      <c r="B31" s="144" t="s">
        <v>37</v>
      </c>
      <c r="C31" s="145"/>
      <c r="D31" s="145"/>
      <c r="E31" s="146"/>
      <c r="F31" s="31"/>
    </row>
    <row r="32" spans="1:15">
      <c r="B32" s="32"/>
      <c r="C32" s="33"/>
    </row>
    <row r="33" spans="2:14">
      <c r="B33" s="147" t="s">
        <v>38</v>
      </c>
      <c r="C33" s="148"/>
      <c r="D33" s="148"/>
      <c r="E33" s="148"/>
      <c r="F33" s="148"/>
      <c r="G33" s="148"/>
      <c r="H33" s="148"/>
      <c r="I33" s="149"/>
    </row>
    <row r="34" spans="2:14">
      <c r="C34" s="4" t="s">
        <v>13</v>
      </c>
      <c r="D34" s="124" t="s">
        <v>14</v>
      </c>
      <c r="E34" s="124" t="s">
        <v>15</v>
      </c>
      <c r="F34" s="125" t="s">
        <v>16</v>
      </c>
      <c r="G34" s="125" t="s">
        <v>17</v>
      </c>
      <c r="H34" s="125" t="s">
        <v>18</v>
      </c>
      <c r="I34" s="125" t="s">
        <v>19</v>
      </c>
      <c r="J34" s="125" t="s">
        <v>20</v>
      </c>
      <c r="K34" s="125" t="s">
        <v>21</v>
      </c>
      <c r="L34" s="125" t="s">
        <v>22</v>
      </c>
      <c r="M34" s="125" t="s">
        <v>23</v>
      </c>
      <c r="N34" s="125" t="s">
        <v>24</v>
      </c>
    </row>
    <row r="35" spans="2:14">
      <c r="B35" s="34" t="s">
        <v>39</v>
      </c>
      <c r="C35" s="35">
        <v>6</v>
      </c>
      <c r="D35" s="38">
        <f>C35</f>
        <v>6</v>
      </c>
      <c r="E35" s="38">
        <f t="shared" ref="E35:N36" si="6">D35</f>
        <v>6</v>
      </c>
      <c r="F35" s="38">
        <f t="shared" si="6"/>
        <v>6</v>
      </c>
      <c r="G35" s="38">
        <f t="shared" si="6"/>
        <v>6</v>
      </c>
      <c r="H35" s="38">
        <f t="shared" si="6"/>
        <v>6</v>
      </c>
      <c r="I35" s="38">
        <f t="shared" si="6"/>
        <v>6</v>
      </c>
      <c r="J35" s="38">
        <f t="shared" si="6"/>
        <v>6</v>
      </c>
      <c r="K35" s="38">
        <f t="shared" si="6"/>
        <v>6</v>
      </c>
      <c r="L35" s="38">
        <f t="shared" si="6"/>
        <v>6</v>
      </c>
      <c r="M35" s="38">
        <f t="shared" si="6"/>
        <v>6</v>
      </c>
      <c r="N35" s="38">
        <f t="shared" si="6"/>
        <v>6</v>
      </c>
    </row>
    <row r="36" spans="2:14">
      <c r="B36" s="34" t="s">
        <v>40</v>
      </c>
      <c r="C36" s="35">
        <v>6</v>
      </c>
      <c r="D36" s="38">
        <f>C36</f>
        <v>6</v>
      </c>
      <c r="E36" s="38">
        <f t="shared" si="6"/>
        <v>6</v>
      </c>
      <c r="F36" s="38">
        <f t="shared" si="6"/>
        <v>6</v>
      </c>
      <c r="G36" s="38">
        <f t="shared" si="6"/>
        <v>6</v>
      </c>
      <c r="H36" s="38">
        <f t="shared" si="6"/>
        <v>6</v>
      </c>
      <c r="I36" s="38">
        <f t="shared" si="6"/>
        <v>6</v>
      </c>
      <c r="J36" s="38">
        <f t="shared" si="6"/>
        <v>6</v>
      </c>
      <c r="K36" s="38">
        <f t="shared" si="6"/>
        <v>6</v>
      </c>
      <c r="L36" s="38">
        <f t="shared" si="6"/>
        <v>6</v>
      </c>
      <c r="M36" s="38">
        <f t="shared" si="6"/>
        <v>6</v>
      </c>
      <c r="N36" s="38">
        <f t="shared" si="6"/>
        <v>6</v>
      </c>
    </row>
    <row r="37" spans="2:14">
      <c r="B37" s="34" t="s">
        <v>41</v>
      </c>
      <c r="C37" s="36">
        <f>C25</f>
        <v>2.4387096774193546</v>
      </c>
      <c r="D37" s="36">
        <f>D25</f>
        <v>2.8777777777777773</v>
      </c>
      <c r="E37" s="36">
        <f t="shared" ref="E37:N37" si="7">E25</f>
        <v>3.7835125448028664</v>
      </c>
      <c r="F37" s="36">
        <f t="shared" si="7"/>
        <v>6.4037037037037026</v>
      </c>
      <c r="G37" s="36">
        <f t="shared" si="7"/>
        <v>14.572043010752687</v>
      </c>
      <c r="H37" s="36">
        <f t="shared" si="7"/>
        <v>23.229629629629628</v>
      </c>
      <c r="I37" s="36">
        <f t="shared" si="7"/>
        <v>30.493279569892472</v>
      </c>
      <c r="J37" s="36">
        <f t="shared" si="7"/>
        <v>30.690860215053764</v>
      </c>
      <c r="K37" s="36">
        <f t="shared" si="7"/>
        <v>21.96833333333333</v>
      </c>
      <c r="L37" s="36">
        <f t="shared" si="7"/>
        <v>15.317204301075268</v>
      </c>
      <c r="M37" s="36">
        <f t="shared" si="7"/>
        <v>9.4759259259259263</v>
      </c>
      <c r="N37" s="36">
        <f t="shared" si="7"/>
        <v>4.9075268817204316</v>
      </c>
    </row>
    <row r="38" spans="2:14">
      <c r="B38" s="37" t="s">
        <v>42</v>
      </c>
      <c r="C38" s="36">
        <f>C37*C36*C35</f>
        <v>87.793548387096763</v>
      </c>
      <c r="D38" s="36">
        <f t="shared" ref="D38:N38" si="8">D37*D36*D35</f>
        <v>103.6</v>
      </c>
      <c r="E38" s="36">
        <f t="shared" si="8"/>
        <v>136.20645161290321</v>
      </c>
      <c r="F38" s="36">
        <f t="shared" si="8"/>
        <v>230.5333333333333</v>
      </c>
      <c r="G38" s="36">
        <f t="shared" si="8"/>
        <v>524.59354838709669</v>
      </c>
      <c r="H38" s="36">
        <f t="shared" si="8"/>
        <v>836.26666666666665</v>
      </c>
      <c r="I38" s="36">
        <f t="shared" si="8"/>
        <v>1097.7580645161288</v>
      </c>
      <c r="J38" s="36">
        <f>J37*J36*J35</f>
        <v>1104.8709677419356</v>
      </c>
      <c r="K38" s="36">
        <f t="shared" si="8"/>
        <v>790.8599999999999</v>
      </c>
      <c r="L38" s="36">
        <f t="shared" si="8"/>
        <v>551.41935483870975</v>
      </c>
      <c r="M38" s="36">
        <f t="shared" si="8"/>
        <v>341.13333333333333</v>
      </c>
      <c r="N38" s="36">
        <f t="shared" si="8"/>
        <v>176.67096774193553</v>
      </c>
    </row>
    <row r="40" spans="2:14">
      <c r="B40" s="136" t="s">
        <v>43</v>
      </c>
      <c r="C40" s="137"/>
    </row>
    <row r="42" spans="2:14">
      <c r="B42" s="147" t="s">
        <v>44</v>
      </c>
      <c r="C42" s="148"/>
      <c r="D42" s="148"/>
      <c r="E42" s="148"/>
      <c r="F42" s="148"/>
      <c r="G42" s="148"/>
      <c r="H42" s="148"/>
      <c r="I42" s="149"/>
    </row>
    <row r="43" spans="2:14">
      <c r="C43" s="4" t="s">
        <v>13</v>
      </c>
      <c r="D43" s="4" t="s">
        <v>14</v>
      </c>
      <c r="E43" s="4" t="s">
        <v>15</v>
      </c>
      <c r="F43" s="5" t="s">
        <v>16</v>
      </c>
      <c r="G43" s="5" t="s">
        <v>17</v>
      </c>
      <c r="H43" s="5" t="s">
        <v>18</v>
      </c>
      <c r="I43" s="5" t="s">
        <v>19</v>
      </c>
      <c r="J43" s="5" t="s">
        <v>20</v>
      </c>
      <c r="K43" s="5" t="s">
        <v>21</v>
      </c>
      <c r="L43" s="5" t="s">
        <v>22</v>
      </c>
      <c r="M43" s="5" t="s">
        <v>23</v>
      </c>
      <c r="N43" s="5" t="s">
        <v>24</v>
      </c>
    </row>
    <row r="44" spans="2:14">
      <c r="B44" s="34" t="s">
        <v>45</v>
      </c>
      <c r="C44" s="35">
        <v>2</v>
      </c>
      <c r="D44" s="38">
        <f>C44</f>
        <v>2</v>
      </c>
      <c r="E44" s="38">
        <f t="shared" ref="E44:N45" si="9">D44</f>
        <v>2</v>
      </c>
      <c r="F44" s="38">
        <f t="shared" si="9"/>
        <v>2</v>
      </c>
      <c r="G44" s="38">
        <f t="shared" si="9"/>
        <v>2</v>
      </c>
      <c r="H44" s="38">
        <f t="shared" si="9"/>
        <v>2</v>
      </c>
      <c r="I44" s="38">
        <f t="shared" si="9"/>
        <v>2</v>
      </c>
      <c r="J44" s="38">
        <f t="shared" si="9"/>
        <v>2</v>
      </c>
      <c r="K44" s="38">
        <f t="shared" si="9"/>
        <v>2</v>
      </c>
      <c r="L44" s="38">
        <f t="shared" si="9"/>
        <v>2</v>
      </c>
      <c r="M44" s="38">
        <f t="shared" si="9"/>
        <v>2</v>
      </c>
      <c r="N44" s="38">
        <f t="shared" si="9"/>
        <v>2</v>
      </c>
    </row>
    <row r="45" spans="2:14">
      <c r="B45" s="34" t="s">
        <v>46</v>
      </c>
      <c r="C45" s="35">
        <v>16</v>
      </c>
      <c r="D45" s="38">
        <f>C45</f>
        <v>16</v>
      </c>
      <c r="E45" s="38">
        <f t="shared" si="9"/>
        <v>16</v>
      </c>
      <c r="F45" s="38">
        <f t="shared" si="9"/>
        <v>16</v>
      </c>
      <c r="G45" s="38">
        <f t="shared" si="9"/>
        <v>16</v>
      </c>
      <c r="H45" s="38">
        <f t="shared" si="9"/>
        <v>16</v>
      </c>
      <c r="I45" s="38">
        <f t="shared" si="9"/>
        <v>16</v>
      </c>
      <c r="J45" s="38">
        <f t="shared" si="9"/>
        <v>16</v>
      </c>
      <c r="K45" s="38">
        <f t="shared" si="9"/>
        <v>16</v>
      </c>
      <c r="L45" s="38">
        <f t="shared" si="9"/>
        <v>16</v>
      </c>
      <c r="M45" s="38">
        <f t="shared" si="9"/>
        <v>16</v>
      </c>
      <c r="N45" s="38">
        <f t="shared" si="9"/>
        <v>16</v>
      </c>
    </row>
    <row r="46" spans="2:14">
      <c r="B46" s="34" t="s">
        <v>47</v>
      </c>
      <c r="C46" s="35">
        <f>C45*C44</f>
        <v>32</v>
      </c>
      <c r="D46" s="38">
        <f t="shared" ref="D46:N46" si="10">D45*D44</f>
        <v>32</v>
      </c>
      <c r="E46" s="38">
        <f t="shared" si="10"/>
        <v>32</v>
      </c>
      <c r="F46" s="38">
        <f t="shared" si="10"/>
        <v>32</v>
      </c>
      <c r="G46" s="38">
        <f t="shared" si="10"/>
        <v>32</v>
      </c>
      <c r="H46" s="38">
        <f t="shared" si="10"/>
        <v>32</v>
      </c>
      <c r="I46" s="38">
        <f t="shared" si="10"/>
        <v>32</v>
      </c>
      <c r="J46" s="38">
        <f t="shared" si="10"/>
        <v>32</v>
      </c>
      <c r="K46" s="38">
        <f t="shared" si="10"/>
        <v>32</v>
      </c>
      <c r="L46" s="38">
        <f t="shared" si="10"/>
        <v>32</v>
      </c>
      <c r="M46" s="38">
        <f t="shared" si="10"/>
        <v>32</v>
      </c>
      <c r="N46" s="38">
        <f t="shared" si="10"/>
        <v>32</v>
      </c>
    </row>
    <row r="47" spans="2:14">
      <c r="B47" s="34" t="s">
        <v>48</v>
      </c>
      <c r="C47" s="36">
        <f>C38/C46</f>
        <v>2.7435483870967738</v>
      </c>
      <c r="D47" s="39">
        <f t="shared" ref="D47:N47" si="11">D38/D46</f>
        <v>3.2374999999999998</v>
      </c>
      <c r="E47" s="39">
        <f t="shared" si="11"/>
        <v>4.2564516129032253</v>
      </c>
      <c r="F47" s="39">
        <f t="shared" si="11"/>
        <v>7.2041666666666657</v>
      </c>
      <c r="G47" s="39">
        <f t="shared" si="11"/>
        <v>16.393548387096772</v>
      </c>
      <c r="H47" s="39">
        <f t="shared" si="11"/>
        <v>26.133333333333333</v>
      </c>
      <c r="I47" s="39">
        <f t="shared" si="11"/>
        <v>34.304939516129025</v>
      </c>
      <c r="J47" s="39">
        <f t="shared" si="11"/>
        <v>34.527217741935488</v>
      </c>
      <c r="K47" s="39">
        <f t="shared" si="11"/>
        <v>24.714374999999997</v>
      </c>
      <c r="L47" s="39">
        <f t="shared" si="11"/>
        <v>17.23185483870968</v>
      </c>
      <c r="M47" s="39">
        <f t="shared" si="11"/>
        <v>10.660416666666666</v>
      </c>
      <c r="N47" s="39">
        <f t="shared" si="11"/>
        <v>5.5209677419354852</v>
      </c>
    </row>
    <row r="50" spans="2:9">
      <c r="B50" s="136" t="s">
        <v>49</v>
      </c>
      <c r="C50" s="137"/>
    </row>
    <row r="52" spans="2:9">
      <c r="B52" s="147" t="s">
        <v>50</v>
      </c>
      <c r="C52" s="148"/>
      <c r="D52" s="148"/>
      <c r="E52" s="148"/>
      <c r="F52" s="148"/>
      <c r="G52" s="148"/>
      <c r="H52" s="148"/>
      <c r="I52" s="149"/>
    </row>
    <row r="54" spans="2:9">
      <c r="B54" s="34" t="s">
        <v>45</v>
      </c>
      <c r="C54" s="35">
        <v>2</v>
      </c>
    </row>
    <row r="55" spans="2:9">
      <c r="B55" s="34" t="s">
        <v>46</v>
      </c>
      <c r="C55" s="35">
        <v>16</v>
      </c>
    </row>
    <row r="56" spans="2:9">
      <c r="B56" s="34" t="s">
        <v>47</v>
      </c>
      <c r="C56" s="35">
        <v>16</v>
      </c>
    </row>
    <row r="57" spans="2:9">
      <c r="B57" s="34" t="s">
        <v>51</v>
      </c>
      <c r="C57" s="40">
        <f>10000/(C36*C35)</f>
        <v>277.77777777777777</v>
      </c>
    </row>
    <row r="58" spans="2:9">
      <c r="B58" s="139" t="s">
        <v>52</v>
      </c>
      <c r="C58" s="41" t="s">
        <v>53</v>
      </c>
      <c r="D58" s="42" t="s">
        <v>54</v>
      </c>
    </row>
    <row r="59" spans="2:9">
      <c r="B59" s="140"/>
      <c r="C59" s="43">
        <f>C57*C56</f>
        <v>4444.4444444444443</v>
      </c>
      <c r="D59" s="44">
        <f>C59/1000</f>
        <v>4.4444444444444446</v>
      </c>
    </row>
    <row r="60" spans="2:9">
      <c r="B60" s="139" t="s">
        <v>55</v>
      </c>
      <c r="C60" s="41" t="s">
        <v>56</v>
      </c>
      <c r="D60" s="45" t="s">
        <v>57</v>
      </c>
    </row>
    <row r="61" spans="2:9">
      <c r="B61" s="140"/>
      <c r="C61" s="43">
        <v>4</v>
      </c>
      <c r="D61" s="44">
        <f>C61*3.6</f>
        <v>14.4</v>
      </c>
    </row>
    <row r="62" spans="2:9">
      <c r="B62" s="34" t="s">
        <v>58</v>
      </c>
      <c r="C62" s="141">
        <f>D61/D59</f>
        <v>3.2399999999999998</v>
      </c>
      <c r="D62" s="141"/>
    </row>
    <row r="64" spans="2:9">
      <c r="B64" s="136" t="s">
        <v>59</v>
      </c>
      <c r="C64" s="137"/>
    </row>
    <row r="66" spans="2:12">
      <c r="B66" s="138" t="s">
        <v>60</v>
      </c>
      <c r="C66" s="138"/>
      <c r="D66" s="138"/>
      <c r="E66" s="138"/>
      <c r="F66" s="138"/>
      <c r="G66" s="138"/>
      <c r="H66" s="138"/>
      <c r="I66" s="138"/>
      <c r="J66" s="138"/>
      <c r="K66" s="138"/>
      <c r="L66" s="138"/>
    </row>
    <row r="68" spans="2:12">
      <c r="B68" s="34" t="s">
        <v>47</v>
      </c>
      <c r="C68" s="46">
        <v>5</v>
      </c>
    </row>
    <row r="69" spans="2:12">
      <c r="B69" s="34" t="s">
        <v>51</v>
      </c>
      <c r="C69" s="43">
        <v>277.77777777777777</v>
      </c>
    </row>
    <row r="70" spans="2:12">
      <c r="B70" s="139" t="s">
        <v>52</v>
      </c>
      <c r="C70" s="41" t="s">
        <v>53</v>
      </c>
      <c r="D70" s="42" t="s">
        <v>54</v>
      </c>
    </row>
    <row r="71" spans="2:12">
      <c r="B71" s="140"/>
      <c r="C71" s="43">
        <v>4444.4444444444443</v>
      </c>
      <c r="D71" s="44">
        <v>4.4444444444444446</v>
      </c>
    </row>
    <row r="72" spans="2:12">
      <c r="B72" s="139" t="s">
        <v>55</v>
      </c>
      <c r="C72" s="41" t="s">
        <v>56</v>
      </c>
      <c r="D72" s="45" t="s">
        <v>57</v>
      </c>
    </row>
    <row r="73" spans="2:12">
      <c r="B73" s="140"/>
      <c r="C73" s="43">
        <v>4</v>
      </c>
      <c r="D73" s="44">
        <v>14.4</v>
      </c>
    </row>
    <row r="74" spans="2:12">
      <c r="B74" s="34" t="s">
        <v>58</v>
      </c>
      <c r="C74" s="141">
        <v>3.2399999999999998</v>
      </c>
      <c r="D74" s="141"/>
    </row>
    <row r="75" spans="2:12">
      <c r="B75" s="47" t="s">
        <v>31</v>
      </c>
      <c r="C75" s="43">
        <v>16</v>
      </c>
      <c r="D75" s="48"/>
    </row>
    <row r="76" spans="2:12">
      <c r="B76" s="34" t="s">
        <v>61</v>
      </c>
      <c r="C76" s="44">
        <f>C75/C74</f>
        <v>4.9382716049382722</v>
      </c>
    </row>
    <row r="77" spans="2:12">
      <c r="B77" s="34" t="s">
        <v>62</v>
      </c>
      <c r="C77" s="44"/>
    </row>
    <row r="78" spans="2:12">
      <c r="B78" s="34" t="s">
        <v>63</v>
      </c>
      <c r="C78" s="44">
        <f>C37*(C36*C35)/5</f>
        <v>17.558709677419351</v>
      </c>
    </row>
    <row r="79" spans="2:12">
      <c r="B79" s="34" t="s">
        <v>64</v>
      </c>
      <c r="C79" s="44">
        <f>C78*C76</f>
        <v>86.709677419354833</v>
      </c>
    </row>
    <row r="82" spans="2:14">
      <c r="C82" s="4" t="s">
        <v>13</v>
      </c>
      <c r="D82" s="4" t="s">
        <v>14</v>
      </c>
      <c r="E82" s="4" t="s">
        <v>15</v>
      </c>
      <c r="F82" s="5" t="s">
        <v>16</v>
      </c>
      <c r="G82" s="5" t="s">
        <v>17</v>
      </c>
      <c r="H82" s="5" t="s">
        <v>18</v>
      </c>
      <c r="I82" s="5" t="s">
        <v>19</v>
      </c>
      <c r="J82" s="49" t="s">
        <v>20</v>
      </c>
      <c r="K82" s="5" t="s">
        <v>21</v>
      </c>
      <c r="L82" s="5" t="s">
        <v>22</v>
      </c>
      <c r="M82" s="5" t="s">
        <v>23</v>
      </c>
      <c r="N82" s="5" t="s">
        <v>24</v>
      </c>
    </row>
    <row r="83" spans="2:14">
      <c r="B83" s="50" t="s">
        <v>39</v>
      </c>
      <c r="C83" s="46">
        <v>6</v>
      </c>
      <c r="D83" s="51">
        <f>C83</f>
        <v>6</v>
      </c>
      <c r="E83" s="51">
        <f t="shared" ref="E83:N84" si="12">D83</f>
        <v>6</v>
      </c>
      <c r="F83" s="51">
        <f t="shared" si="12"/>
        <v>6</v>
      </c>
      <c r="G83" s="51">
        <f t="shared" si="12"/>
        <v>6</v>
      </c>
      <c r="H83" s="51">
        <f t="shared" si="12"/>
        <v>6</v>
      </c>
      <c r="I83" s="51">
        <f t="shared" si="12"/>
        <v>6</v>
      </c>
      <c r="J83" s="52">
        <f t="shared" si="12"/>
        <v>6</v>
      </c>
      <c r="K83" s="51">
        <f t="shared" si="12"/>
        <v>6</v>
      </c>
      <c r="L83" s="51">
        <f t="shared" si="12"/>
        <v>6</v>
      </c>
      <c r="M83" s="51">
        <f t="shared" si="12"/>
        <v>6</v>
      </c>
      <c r="N83" s="51">
        <f t="shared" si="12"/>
        <v>6</v>
      </c>
    </row>
    <row r="84" spans="2:14">
      <c r="B84" s="50" t="s">
        <v>40</v>
      </c>
      <c r="C84" s="46">
        <v>6</v>
      </c>
      <c r="D84" s="51">
        <f>C84</f>
        <v>6</v>
      </c>
      <c r="E84" s="51">
        <f t="shared" si="12"/>
        <v>6</v>
      </c>
      <c r="F84" s="51">
        <f t="shared" si="12"/>
        <v>6</v>
      </c>
      <c r="G84" s="51">
        <f t="shared" si="12"/>
        <v>6</v>
      </c>
      <c r="H84" s="51">
        <f t="shared" si="12"/>
        <v>6</v>
      </c>
      <c r="I84" s="51">
        <f t="shared" si="12"/>
        <v>6</v>
      </c>
      <c r="J84" s="52">
        <f t="shared" si="12"/>
        <v>6</v>
      </c>
      <c r="K84" s="51">
        <f t="shared" si="12"/>
        <v>6</v>
      </c>
      <c r="L84" s="51">
        <f t="shared" si="12"/>
        <v>6</v>
      </c>
      <c r="M84" s="51">
        <f t="shared" si="12"/>
        <v>6</v>
      </c>
      <c r="N84" s="51">
        <f t="shared" si="12"/>
        <v>6</v>
      </c>
    </row>
    <row r="85" spans="2:14">
      <c r="B85" s="34" t="s">
        <v>65</v>
      </c>
      <c r="C85" s="44">
        <f>C25</f>
        <v>2.4387096774193546</v>
      </c>
      <c r="D85" s="53">
        <f t="shared" ref="D85:N85" si="13">D25</f>
        <v>2.8777777777777773</v>
      </c>
      <c r="E85" s="53">
        <f t="shared" si="13"/>
        <v>3.7835125448028664</v>
      </c>
      <c r="F85" s="53">
        <f t="shared" si="13"/>
        <v>6.4037037037037026</v>
      </c>
      <c r="G85" s="53">
        <f t="shared" si="13"/>
        <v>14.572043010752687</v>
      </c>
      <c r="H85" s="53">
        <f t="shared" si="13"/>
        <v>23.229629629629628</v>
      </c>
      <c r="I85" s="53">
        <f t="shared" si="13"/>
        <v>30.493279569892472</v>
      </c>
      <c r="J85" s="54">
        <f t="shared" si="13"/>
        <v>30.690860215053764</v>
      </c>
      <c r="K85" s="53">
        <f t="shared" si="13"/>
        <v>21.96833333333333</v>
      </c>
      <c r="L85" s="53">
        <f t="shared" si="13"/>
        <v>15.317204301075268</v>
      </c>
      <c r="M85" s="53">
        <f t="shared" si="13"/>
        <v>9.4759259259259263</v>
      </c>
      <c r="N85" s="53">
        <f t="shared" si="13"/>
        <v>4.9075268817204316</v>
      </c>
    </row>
    <row r="86" spans="2:14">
      <c r="B86" s="37" t="s">
        <v>42</v>
      </c>
      <c r="C86" s="44">
        <f>C85</f>
        <v>2.4387096774193546</v>
      </c>
      <c r="D86" s="44">
        <f t="shared" ref="D86:N86" si="14">D85</f>
        <v>2.8777777777777773</v>
      </c>
      <c r="E86" s="44">
        <f t="shared" si="14"/>
        <v>3.7835125448028664</v>
      </c>
      <c r="F86" s="44">
        <f t="shared" si="14"/>
        <v>6.4037037037037026</v>
      </c>
      <c r="G86" s="44">
        <f t="shared" si="14"/>
        <v>14.572043010752687</v>
      </c>
      <c r="H86" s="44">
        <f t="shared" si="14"/>
        <v>23.229629629629628</v>
      </c>
      <c r="I86" s="44">
        <f t="shared" si="14"/>
        <v>30.493279569892472</v>
      </c>
      <c r="J86" s="44">
        <f t="shared" si="14"/>
        <v>30.690860215053764</v>
      </c>
      <c r="K86" s="44">
        <f t="shared" si="14"/>
        <v>21.96833333333333</v>
      </c>
      <c r="L86" s="44">
        <f t="shared" si="14"/>
        <v>15.317204301075268</v>
      </c>
      <c r="M86" s="44">
        <f t="shared" si="14"/>
        <v>9.4759259259259263</v>
      </c>
      <c r="N86" s="44">
        <f t="shared" si="14"/>
        <v>4.9075268817204316</v>
      </c>
    </row>
    <row r="87" spans="2:14">
      <c r="B87" s="50" t="s">
        <v>45</v>
      </c>
      <c r="C87" s="55">
        <v>1</v>
      </c>
      <c r="D87" s="51">
        <f>C87</f>
        <v>1</v>
      </c>
      <c r="E87" s="51">
        <f t="shared" ref="E87:N88" si="15">D87</f>
        <v>1</v>
      </c>
      <c r="F87" s="51">
        <f t="shared" si="15"/>
        <v>1</v>
      </c>
      <c r="G87" s="51">
        <f t="shared" si="15"/>
        <v>1</v>
      </c>
      <c r="H87" s="51">
        <f t="shared" si="15"/>
        <v>1</v>
      </c>
      <c r="I87" s="51">
        <f t="shared" si="15"/>
        <v>1</v>
      </c>
      <c r="J87" s="52">
        <f t="shared" si="15"/>
        <v>1</v>
      </c>
      <c r="K87" s="51">
        <f t="shared" si="15"/>
        <v>1</v>
      </c>
      <c r="L87" s="51">
        <f t="shared" si="15"/>
        <v>1</v>
      </c>
      <c r="M87" s="51">
        <f t="shared" si="15"/>
        <v>1</v>
      </c>
      <c r="N87" s="51">
        <f t="shared" si="15"/>
        <v>1</v>
      </c>
    </row>
    <row r="88" spans="2:14">
      <c r="B88" s="50" t="s">
        <v>46</v>
      </c>
      <c r="C88" s="56">
        <v>16</v>
      </c>
      <c r="D88" s="51">
        <f>C88</f>
        <v>16</v>
      </c>
      <c r="E88" s="51">
        <f t="shared" si="15"/>
        <v>16</v>
      </c>
      <c r="F88" s="51">
        <f t="shared" si="15"/>
        <v>16</v>
      </c>
      <c r="G88" s="51">
        <f t="shared" si="15"/>
        <v>16</v>
      </c>
      <c r="H88" s="51">
        <f t="shared" si="15"/>
        <v>16</v>
      </c>
      <c r="I88" s="51">
        <f t="shared" si="15"/>
        <v>16</v>
      </c>
      <c r="J88" s="52">
        <f t="shared" si="15"/>
        <v>16</v>
      </c>
      <c r="K88" s="51">
        <f t="shared" si="15"/>
        <v>16</v>
      </c>
      <c r="L88" s="51">
        <f t="shared" si="15"/>
        <v>16</v>
      </c>
      <c r="M88" s="51">
        <f t="shared" si="15"/>
        <v>16</v>
      </c>
      <c r="N88" s="51">
        <f t="shared" si="15"/>
        <v>16</v>
      </c>
    </row>
    <row r="89" spans="2:14">
      <c r="B89" s="34" t="s">
        <v>47</v>
      </c>
      <c r="C89" s="46">
        <f>C88*C87</f>
        <v>16</v>
      </c>
      <c r="D89" s="57">
        <f t="shared" ref="D89:N89" si="16">D88*D87</f>
        <v>16</v>
      </c>
      <c r="E89" s="57">
        <f t="shared" si="16"/>
        <v>16</v>
      </c>
      <c r="F89" s="57">
        <f t="shared" si="16"/>
        <v>16</v>
      </c>
      <c r="G89" s="57">
        <f t="shared" si="16"/>
        <v>16</v>
      </c>
      <c r="H89" s="57">
        <f t="shared" si="16"/>
        <v>16</v>
      </c>
      <c r="I89" s="57">
        <f t="shared" si="16"/>
        <v>16</v>
      </c>
      <c r="J89" s="58">
        <f t="shared" si="16"/>
        <v>16</v>
      </c>
      <c r="K89" s="57">
        <f t="shared" si="16"/>
        <v>16</v>
      </c>
      <c r="L89" s="57">
        <f t="shared" si="16"/>
        <v>16</v>
      </c>
      <c r="M89" s="57">
        <f t="shared" si="16"/>
        <v>16</v>
      </c>
      <c r="N89" s="57">
        <f t="shared" si="16"/>
        <v>16</v>
      </c>
    </row>
    <row r="90" spans="2:14">
      <c r="B90" s="34" t="s">
        <v>48</v>
      </c>
      <c r="C90" s="44">
        <f>C86/C89</f>
        <v>0.15241935483870966</v>
      </c>
      <c r="D90" s="53">
        <f t="shared" ref="D90:N90" si="17">D86/D89</f>
        <v>0.17986111111111108</v>
      </c>
      <c r="E90" s="53">
        <f t="shared" si="17"/>
        <v>0.23646953405017915</v>
      </c>
      <c r="F90" s="53">
        <f t="shared" si="17"/>
        <v>0.40023148148148141</v>
      </c>
      <c r="G90" s="53">
        <f t="shared" si="17"/>
        <v>0.91075268817204291</v>
      </c>
      <c r="H90" s="53">
        <f t="shared" si="17"/>
        <v>1.4518518518518517</v>
      </c>
      <c r="I90" s="53">
        <f t="shared" si="17"/>
        <v>1.9058299731182795</v>
      </c>
      <c r="J90" s="54">
        <f t="shared" si="17"/>
        <v>1.9181787634408602</v>
      </c>
      <c r="K90" s="53">
        <f t="shared" si="17"/>
        <v>1.3730208333333331</v>
      </c>
      <c r="L90" s="53">
        <f t="shared" si="17"/>
        <v>0.95732526881720426</v>
      </c>
      <c r="M90" s="53">
        <f t="shared" si="17"/>
        <v>0.59224537037037039</v>
      </c>
      <c r="N90" s="53">
        <f t="shared" si="17"/>
        <v>0.30672043010752698</v>
      </c>
    </row>
    <row r="91" spans="2:14">
      <c r="B91" s="34" t="s">
        <v>51</v>
      </c>
      <c r="C91" s="43">
        <f t="shared" ref="C91:N91" si="18">10000/(C84*C83)</f>
        <v>277.77777777777777</v>
      </c>
      <c r="D91" s="59">
        <f t="shared" si="18"/>
        <v>277.77777777777777</v>
      </c>
      <c r="E91" s="59">
        <f t="shared" si="18"/>
        <v>277.77777777777777</v>
      </c>
      <c r="F91" s="59">
        <f t="shared" si="18"/>
        <v>277.77777777777777</v>
      </c>
      <c r="G91" s="59">
        <f t="shared" si="18"/>
        <v>277.77777777777777</v>
      </c>
      <c r="H91" s="59">
        <f t="shared" si="18"/>
        <v>277.77777777777777</v>
      </c>
      <c r="I91" s="59">
        <f t="shared" si="18"/>
        <v>277.77777777777777</v>
      </c>
      <c r="J91" s="60">
        <f t="shared" si="18"/>
        <v>277.77777777777777</v>
      </c>
      <c r="K91" s="59">
        <f t="shared" si="18"/>
        <v>277.77777777777777</v>
      </c>
      <c r="L91" s="59">
        <f t="shared" si="18"/>
        <v>277.77777777777777</v>
      </c>
      <c r="M91" s="59">
        <f t="shared" si="18"/>
        <v>277.77777777777777</v>
      </c>
      <c r="N91" s="59">
        <f t="shared" si="18"/>
        <v>277.77777777777777</v>
      </c>
    </row>
    <row r="92" spans="2:14">
      <c r="B92" s="61" t="s">
        <v>66</v>
      </c>
      <c r="C92" s="43">
        <f>C91*C89</f>
        <v>4444.4444444444443</v>
      </c>
      <c r="D92" s="62">
        <f t="shared" ref="D92:N98" si="19">C92</f>
        <v>4444.4444444444443</v>
      </c>
      <c r="E92" s="62">
        <f t="shared" si="19"/>
        <v>4444.4444444444443</v>
      </c>
      <c r="F92" s="62">
        <f t="shared" si="19"/>
        <v>4444.4444444444443</v>
      </c>
      <c r="G92" s="62">
        <f t="shared" si="19"/>
        <v>4444.4444444444443</v>
      </c>
      <c r="H92" s="62">
        <f t="shared" si="19"/>
        <v>4444.4444444444443</v>
      </c>
      <c r="I92" s="62">
        <f t="shared" si="19"/>
        <v>4444.4444444444443</v>
      </c>
      <c r="J92" s="63">
        <f>I92</f>
        <v>4444.4444444444443</v>
      </c>
      <c r="K92" s="62">
        <f t="shared" si="19"/>
        <v>4444.4444444444443</v>
      </c>
      <c r="L92" s="62">
        <f t="shared" si="19"/>
        <v>4444.4444444444443</v>
      </c>
      <c r="M92" s="62">
        <f t="shared" si="19"/>
        <v>4444.4444444444443</v>
      </c>
      <c r="N92" s="62">
        <f t="shared" si="19"/>
        <v>4444.4444444444443</v>
      </c>
    </row>
    <row r="93" spans="2:14">
      <c r="B93" s="64" t="s">
        <v>67</v>
      </c>
      <c r="C93" s="44">
        <f>C92/1000</f>
        <v>4.4444444444444446</v>
      </c>
      <c r="D93" s="65">
        <f t="shared" si="19"/>
        <v>4.4444444444444446</v>
      </c>
      <c r="E93" s="65">
        <f t="shared" si="19"/>
        <v>4.4444444444444446</v>
      </c>
      <c r="F93" s="65">
        <f t="shared" si="19"/>
        <v>4.4444444444444446</v>
      </c>
      <c r="G93" s="65">
        <f t="shared" si="19"/>
        <v>4.4444444444444446</v>
      </c>
      <c r="H93" s="65">
        <f t="shared" si="19"/>
        <v>4.4444444444444446</v>
      </c>
      <c r="I93" s="65">
        <f t="shared" si="19"/>
        <v>4.4444444444444446</v>
      </c>
      <c r="J93" s="66">
        <f t="shared" si="19"/>
        <v>4.4444444444444446</v>
      </c>
      <c r="K93" s="65">
        <f t="shared" si="19"/>
        <v>4.4444444444444446</v>
      </c>
      <c r="L93" s="65">
        <f t="shared" si="19"/>
        <v>4.4444444444444446</v>
      </c>
      <c r="M93" s="65">
        <f t="shared" si="19"/>
        <v>4.4444444444444446</v>
      </c>
      <c r="N93" s="65">
        <f t="shared" si="19"/>
        <v>4.4444444444444446</v>
      </c>
    </row>
    <row r="94" spans="2:14">
      <c r="B94" s="61" t="s">
        <v>68</v>
      </c>
      <c r="C94" s="46">
        <v>4</v>
      </c>
      <c r="D94" s="67">
        <f t="shared" si="19"/>
        <v>4</v>
      </c>
      <c r="E94" s="67">
        <f t="shared" si="19"/>
        <v>4</v>
      </c>
      <c r="F94" s="67">
        <f t="shared" si="19"/>
        <v>4</v>
      </c>
      <c r="G94" s="67">
        <f t="shared" si="19"/>
        <v>4</v>
      </c>
      <c r="H94" s="67">
        <f t="shared" si="19"/>
        <v>4</v>
      </c>
      <c r="I94" s="67">
        <f t="shared" si="19"/>
        <v>4</v>
      </c>
      <c r="J94" s="68">
        <f t="shared" si="19"/>
        <v>4</v>
      </c>
      <c r="K94" s="67">
        <f t="shared" si="19"/>
        <v>4</v>
      </c>
      <c r="L94" s="67">
        <f t="shared" si="19"/>
        <v>4</v>
      </c>
      <c r="M94" s="67">
        <f t="shared" si="19"/>
        <v>4</v>
      </c>
      <c r="N94" s="67">
        <f t="shared" si="19"/>
        <v>4</v>
      </c>
    </row>
    <row r="95" spans="2:14">
      <c r="B95" s="64" t="s">
        <v>69</v>
      </c>
      <c r="C95" s="46">
        <f>C94*3.6</f>
        <v>14.4</v>
      </c>
      <c r="D95" s="67">
        <f t="shared" si="19"/>
        <v>14.4</v>
      </c>
      <c r="E95" s="67">
        <f t="shared" si="19"/>
        <v>14.4</v>
      </c>
      <c r="F95" s="67">
        <f t="shared" si="19"/>
        <v>14.4</v>
      </c>
      <c r="G95" s="67">
        <f t="shared" si="19"/>
        <v>14.4</v>
      </c>
      <c r="H95" s="67">
        <f t="shared" si="19"/>
        <v>14.4</v>
      </c>
      <c r="I95" s="67">
        <f t="shared" si="19"/>
        <v>14.4</v>
      </c>
      <c r="J95" s="68">
        <f t="shared" si="19"/>
        <v>14.4</v>
      </c>
      <c r="K95" s="67">
        <f t="shared" si="19"/>
        <v>14.4</v>
      </c>
      <c r="L95" s="67">
        <f t="shared" si="19"/>
        <v>14.4</v>
      </c>
      <c r="M95" s="67">
        <f t="shared" si="19"/>
        <v>14.4</v>
      </c>
      <c r="N95" s="67">
        <f t="shared" si="19"/>
        <v>14.4</v>
      </c>
    </row>
    <row r="96" spans="2:14">
      <c r="B96" s="50" t="s">
        <v>58</v>
      </c>
      <c r="C96" s="46">
        <f>ROUNDUP((C95/C93),0)</f>
        <v>4</v>
      </c>
      <c r="D96" s="67">
        <f t="shared" si="19"/>
        <v>4</v>
      </c>
      <c r="E96" s="67">
        <f t="shared" si="19"/>
        <v>4</v>
      </c>
      <c r="F96" s="67">
        <f t="shared" si="19"/>
        <v>4</v>
      </c>
      <c r="G96" s="67">
        <f t="shared" si="19"/>
        <v>4</v>
      </c>
      <c r="H96" s="67">
        <f t="shared" si="19"/>
        <v>4</v>
      </c>
      <c r="I96" s="67">
        <f t="shared" si="19"/>
        <v>4</v>
      </c>
      <c r="J96" s="68">
        <f t="shared" si="19"/>
        <v>4</v>
      </c>
      <c r="K96" s="67">
        <f t="shared" si="19"/>
        <v>4</v>
      </c>
      <c r="L96" s="67">
        <f t="shared" si="19"/>
        <v>4</v>
      </c>
      <c r="M96" s="67">
        <f t="shared" si="19"/>
        <v>4</v>
      </c>
      <c r="N96" s="67">
        <f t="shared" si="19"/>
        <v>4</v>
      </c>
    </row>
    <row r="97" spans="2:14">
      <c r="B97" s="69" t="s">
        <v>31</v>
      </c>
      <c r="C97" s="56">
        <v>16</v>
      </c>
      <c r="D97" s="67">
        <f t="shared" si="19"/>
        <v>16</v>
      </c>
      <c r="E97" s="67">
        <f t="shared" si="19"/>
        <v>16</v>
      </c>
      <c r="F97" s="67">
        <f t="shared" si="19"/>
        <v>16</v>
      </c>
      <c r="G97" s="67">
        <f t="shared" si="19"/>
        <v>16</v>
      </c>
      <c r="H97" s="67">
        <f t="shared" si="19"/>
        <v>16</v>
      </c>
      <c r="I97" s="67">
        <f t="shared" si="19"/>
        <v>16</v>
      </c>
      <c r="J97" s="68">
        <f t="shared" si="19"/>
        <v>16</v>
      </c>
      <c r="K97" s="67">
        <f t="shared" si="19"/>
        <v>16</v>
      </c>
      <c r="L97" s="67">
        <f t="shared" si="19"/>
        <v>16</v>
      </c>
      <c r="M97" s="67">
        <f t="shared" si="19"/>
        <v>16</v>
      </c>
      <c r="N97" s="67">
        <f t="shared" si="19"/>
        <v>16</v>
      </c>
    </row>
    <row r="98" spans="2:14">
      <c r="B98" s="34" t="s">
        <v>61</v>
      </c>
      <c r="C98" s="44">
        <f>ROUNDUP((C97/C96),0)</f>
        <v>4</v>
      </c>
      <c r="D98" s="53">
        <f t="shared" si="19"/>
        <v>4</v>
      </c>
      <c r="E98" s="53">
        <f t="shared" si="19"/>
        <v>4</v>
      </c>
      <c r="F98" s="53">
        <f t="shared" si="19"/>
        <v>4</v>
      </c>
      <c r="G98" s="53">
        <f t="shared" si="19"/>
        <v>4</v>
      </c>
      <c r="H98" s="53">
        <f t="shared" si="19"/>
        <v>4</v>
      </c>
      <c r="I98" s="53">
        <f t="shared" si="19"/>
        <v>4</v>
      </c>
      <c r="J98" s="70">
        <f t="shared" si="19"/>
        <v>4</v>
      </c>
      <c r="K98" s="53">
        <f t="shared" si="19"/>
        <v>4</v>
      </c>
      <c r="L98" s="53">
        <f t="shared" si="19"/>
        <v>4</v>
      </c>
      <c r="M98" s="53">
        <f t="shared" si="19"/>
        <v>4</v>
      </c>
      <c r="N98" s="53">
        <f t="shared" si="19"/>
        <v>4</v>
      </c>
    </row>
    <row r="99" spans="2:14">
      <c r="B99" s="34" t="s">
        <v>63</v>
      </c>
      <c r="C99" s="70">
        <f t="shared" ref="C99:I99" si="20">C85/C97</f>
        <v>0.15241935483870966</v>
      </c>
      <c r="D99" s="70">
        <f t="shared" si="20"/>
        <v>0.17986111111111108</v>
      </c>
      <c r="E99" s="70">
        <f t="shared" si="20"/>
        <v>0.23646953405017915</v>
      </c>
      <c r="F99" s="70">
        <f t="shared" si="20"/>
        <v>0.40023148148148141</v>
      </c>
      <c r="G99" s="70">
        <f t="shared" si="20"/>
        <v>0.91075268817204291</v>
      </c>
      <c r="H99" s="70">
        <f t="shared" si="20"/>
        <v>1.4518518518518517</v>
      </c>
      <c r="I99" s="70">
        <f t="shared" si="20"/>
        <v>1.9058299731182795</v>
      </c>
      <c r="J99" s="70">
        <f>J85/J97</f>
        <v>1.9181787634408602</v>
      </c>
      <c r="K99" s="70">
        <f t="shared" ref="K99:N99" si="21">K85/K97</f>
        <v>1.3730208333333331</v>
      </c>
      <c r="L99" s="70">
        <f t="shared" si="21"/>
        <v>0.95732526881720426</v>
      </c>
      <c r="M99" s="70">
        <f t="shared" si="21"/>
        <v>0.59224537037037039</v>
      </c>
      <c r="N99" s="70">
        <f t="shared" si="21"/>
        <v>0.30672043010752698</v>
      </c>
    </row>
    <row r="100" spans="2:14">
      <c r="B100" s="34" t="s">
        <v>64</v>
      </c>
      <c r="C100" s="44">
        <f>C99*C98</f>
        <v>0.60967741935483866</v>
      </c>
      <c r="D100" s="53">
        <f t="shared" ref="D100:I100" si="22">D99*D98</f>
        <v>0.71944444444444433</v>
      </c>
      <c r="E100" s="53">
        <f t="shared" si="22"/>
        <v>0.94587813620071659</v>
      </c>
      <c r="F100" s="53">
        <f t="shared" si="22"/>
        <v>1.6009259259259256</v>
      </c>
      <c r="G100" s="53">
        <f t="shared" si="22"/>
        <v>3.6430107526881716</v>
      </c>
      <c r="H100" s="53">
        <f t="shared" si="22"/>
        <v>5.8074074074074069</v>
      </c>
      <c r="I100" s="53">
        <f t="shared" si="22"/>
        <v>7.623319892473118</v>
      </c>
      <c r="J100" s="70">
        <f>J99*J98</f>
        <v>7.672715053763441</v>
      </c>
      <c r="K100" s="70">
        <f>K99*K98</f>
        <v>5.4920833333333325</v>
      </c>
      <c r="L100" s="70">
        <f t="shared" ref="L100:N100" si="23">L99*L98</f>
        <v>3.829301075268817</v>
      </c>
      <c r="M100" s="70">
        <f t="shared" si="23"/>
        <v>2.3689814814814816</v>
      </c>
      <c r="N100" s="70">
        <f t="shared" si="23"/>
        <v>1.2268817204301079</v>
      </c>
    </row>
    <row r="101" spans="2:14">
      <c r="C101" s="71"/>
      <c r="D101" s="71"/>
      <c r="E101" s="71"/>
      <c r="F101" s="71"/>
      <c r="G101" s="71"/>
      <c r="H101" s="71"/>
      <c r="I101" s="71"/>
      <c r="J101" s="71"/>
      <c r="K101" s="71"/>
      <c r="L101" s="71"/>
      <c r="M101" s="71"/>
      <c r="N101" s="71"/>
    </row>
    <row r="104" spans="2:14">
      <c r="I104" t="s">
        <v>70</v>
      </c>
    </row>
    <row r="107" spans="2:14" ht="18">
      <c r="B107" s="135" t="s">
        <v>0</v>
      </c>
      <c r="C107" s="135"/>
      <c r="D107" s="135"/>
      <c r="E107" s="135"/>
    </row>
    <row r="109" spans="2:14" ht="18">
      <c r="B109" s="135" t="s">
        <v>71</v>
      </c>
      <c r="C109" s="135"/>
      <c r="D109" s="135"/>
      <c r="E109" s="135"/>
    </row>
  </sheetData>
  <mergeCells count="19">
    <mergeCell ref="C62:D62"/>
    <mergeCell ref="B4:G4"/>
    <mergeCell ref="B5:C5"/>
    <mergeCell ref="B29:C29"/>
    <mergeCell ref="B31:E31"/>
    <mergeCell ref="B33:I33"/>
    <mergeCell ref="B40:C40"/>
    <mergeCell ref="B42:I42"/>
    <mergeCell ref="B50:C50"/>
    <mergeCell ref="B52:I52"/>
    <mergeCell ref="B58:B59"/>
    <mergeCell ref="B60:B61"/>
    <mergeCell ref="B109:E109"/>
    <mergeCell ref="B64:C64"/>
    <mergeCell ref="B66:L66"/>
    <mergeCell ref="B70:B71"/>
    <mergeCell ref="B72:B73"/>
    <mergeCell ref="C74:D74"/>
    <mergeCell ref="B107:E10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D6:D7"/>
  <sheetViews>
    <sheetView workbookViewId="0">
      <selection activeCell="D8" sqref="D8"/>
    </sheetView>
  </sheetViews>
  <sheetFormatPr baseColWidth="10" defaultRowHeight="15.75"/>
  <cols>
    <col min="4" max="4" width="33.625" customWidth="1"/>
  </cols>
  <sheetData>
    <row r="6" spans="4:4">
      <c r="D6" t="s">
        <v>102</v>
      </c>
    </row>
    <row r="7" spans="4:4">
      <c r="D7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BESOIN EN EAU</vt:lpstr>
      <vt:lpstr>IRRIGATION</vt:lpstr>
      <vt:lpstr>DIMENSIONNEMENT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</dc:creator>
  <cp:lastModifiedBy>SAT</cp:lastModifiedBy>
  <dcterms:created xsi:type="dcterms:W3CDTF">2024-08-09T16:32:30Z</dcterms:created>
  <dcterms:modified xsi:type="dcterms:W3CDTF">2024-09-08T16:57:17Z</dcterms:modified>
</cp:coreProperties>
</file>